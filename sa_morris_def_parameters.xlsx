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3FC1C70D-5492-4E66-90E6-F624EAE37568}" xr6:coauthVersionLast="37" xr6:coauthVersionMax="37" xr10:uidLastSave="{00000000-0000-0000-0000-000000000000}"/>
  <bookViews>
    <workbookView xWindow="0" yWindow="0" windowWidth="21570" windowHeight="7890" activeTab="1" xr2:uid="{00000000-000D-0000-FFFF-FFFF00000000}"/>
  </bookViews>
  <sheets>
    <sheet name="sugarbeet" sheetId="2" r:id="rId1"/>
    <sheet name="winterwheat" sheetId="3" r:id="rId2"/>
    <sheet name="potato" sheetId="4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" i="4" l="1"/>
  <c r="C47" i="4"/>
  <c r="D80" i="4" l="1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D86" i="3" l="1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D77" i="2" l="1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<sst xmlns="http://schemas.openxmlformats.org/spreadsheetml/2006/main" count="252" uniqueCount="95">
  <si>
    <t>parameter_name</t>
  </si>
  <si>
    <t>default_value</t>
  </si>
  <si>
    <t>lower_limit</t>
  </si>
  <si>
    <t>upper_limit</t>
  </si>
  <si>
    <t>CriticalTemperatureHeatStress</t>
  </si>
  <si>
    <t>CropHeightP1</t>
  </si>
  <si>
    <t>CropHeightP2</t>
  </si>
  <si>
    <t>CropSpecificMaxRootingDepth</t>
  </si>
  <si>
    <t>DroughtStressThreshold 0</t>
  </si>
  <si>
    <t>DroughtStressThreshold 1</t>
  </si>
  <si>
    <t>DroughtStressThreshold 2</t>
  </si>
  <si>
    <t>DroughtStressThreshold 3</t>
  </si>
  <si>
    <t>DroughtStressThreshold 4</t>
  </si>
  <si>
    <t>DroughtStressThreshold 5</t>
  </si>
  <si>
    <t>HeatSumIrrigationEnd</t>
  </si>
  <si>
    <t>HeatSumIrrigationStart</t>
  </si>
  <si>
    <t>MaxAssimilationRate</t>
  </si>
  <si>
    <t>MaxCropHeight</t>
  </si>
  <si>
    <t>OptimumTemperature 0</t>
  </si>
  <si>
    <t>OptimumTemperature 1</t>
  </si>
  <si>
    <t>OptimumTemperature 2</t>
  </si>
  <si>
    <t>OptimumTemperature 3</t>
  </si>
  <si>
    <t>OptimumTemperature 4</t>
  </si>
  <si>
    <t>OptimumTemperature 5</t>
  </si>
  <si>
    <t>LeafSenescenceRate_s5</t>
  </si>
  <si>
    <t>LeafSenescenceRate_s6</t>
  </si>
  <si>
    <t>StemSenescenceRate_s4</t>
  </si>
  <si>
    <t>StemSenescenceRate_s5</t>
  </si>
  <si>
    <t>StemSenescenceRate_s6</t>
  </si>
  <si>
    <t>ResidueNRatio</t>
  </si>
  <si>
    <t>SpecificLeafArea 0</t>
  </si>
  <si>
    <t>SpecificLeafArea 1</t>
  </si>
  <si>
    <t>SpecificLeafArea 2</t>
  </si>
  <si>
    <t>SpecificLeafArea 3</t>
  </si>
  <si>
    <t>SpecificLeafArea 4</t>
  </si>
  <si>
    <t>SpecificLeafArea 5</t>
  </si>
  <si>
    <t>StageKcFactor 0</t>
  </si>
  <si>
    <t>StageKcFactor 1</t>
  </si>
  <si>
    <t>StageKcFactor 2</t>
  </si>
  <si>
    <t>StageKcFactor 3</t>
  </si>
  <si>
    <t>StageKcFactor 4</t>
  </si>
  <si>
    <t>StageKcFactor 5</t>
  </si>
  <si>
    <t>StageTemperatureSum 0</t>
  </si>
  <si>
    <t>StageTemperatureSum 1</t>
  </si>
  <si>
    <t>StageTemperatureSum 2</t>
  </si>
  <si>
    <t>StageTemperatureSum 3</t>
  </si>
  <si>
    <t>StageTemperatureSum 4</t>
  </si>
  <si>
    <t>StageTemperatureSum 5</t>
  </si>
  <si>
    <t>AssimilateReallocation</t>
  </si>
  <si>
    <t>BaseTemperature 1</t>
  </si>
  <si>
    <t>BaseTemperature 2</t>
  </si>
  <si>
    <t>DefaultRadiationUseEfficiency</t>
  </si>
  <si>
    <t>InitialOrganBiomass 0</t>
  </si>
  <si>
    <t>InitialOrganBiomass 1</t>
  </si>
  <si>
    <t>InitialRootingDepth</t>
  </si>
  <si>
    <t>LimitingTemperatureHeatStress</t>
  </si>
  <si>
    <t>MaxNUptakeParam</t>
  </si>
  <si>
    <t>MinimumTemperatureForAssimilation</t>
  </si>
  <si>
    <t>NConcentrationAbovegroundBiomass</t>
  </si>
  <si>
    <t>NConcentrationPN</t>
  </si>
  <si>
    <t>OrganGrowthRespiration 0</t>
  </si>
  <si>
    <t>OrganGrowthRespiration 1</t>
  </si>
  <si>
    <t>OrganGrowthRespiration 2</t>
  </si>
  <si>
    <t>OrganGrowthRespiration 3</t>
  </si>
  <si>
    <t>OrganMaintenanceRespiration 0</t>
  </si>
  <si>
    <t>OrganMaintenanceRespiration 1</t>
  </si>
  <si>
    <t>OrganMaintenanceRespiration 2</t>
  </si>
  <si>
    <t>OrganMaintenanceRespiration 3</t>
  </si>
  <si>
    <t>RootDistributionParam</t>
  </si>
  <si>
    <t>RootFormFactor</t>
  </si>
  <si>
    <t xml:space="preserve">CanopyReflectionCoefficient  </t>
  </si>
  <si>
    <t xml:space="preserve">GrowthRespirationParameter1  </t>
  </si>
  <si>
    <t xml:space="preserve">GrowthRespirationParameter2  </t>
  </si>
  <si>
    <t xml:space="preserve">MaintenanceRespirationParameter1  </t>
  </si>
  <si>
    <t xml:space="preserve">MaintenanceRespirationParameter2  </t>
  </si>
  <si>
    <t xml:space="preserve">MaxCropNDemand  </t>
  </si>
  <si>
    <t xml:space="preserve">ReferenceAlbedo  </t>
  </si>
  <si>
    <t xml:space="preserve">ReferenceLeafAreaIndex  </t>
  </si>
  <si>
    <t xml:space="preserve">SaturationBeta  </t>
  </si>
  <si>
    <t xml:space="preserve">StomataConductanceAlpha  </t>
  </si>
  <si>
    <t>BaseDaylength 2</t>
  </si>
  <si>
    <t>BaseDaylength 3</t>
  </si>
  <si>
    <t>BeginSensitivePhaseHeatStress</t>
  </si>
  <si>
    <t>DaylengthRequirement 1</t>
  </si>
  <si>
    <t>DaylengthRequirement 2</t>
  </si>
  <si>
    <t>DaylengthRequirement 3</t>
  </si>
  <si>
    <t>EndSensitivePhaseHeatStress</t>
  </si>
  <si>
    <t>RespiratoryStress</t>
  </si>
  <si>
    <t>VernalisationRequirement 1</t>
  </si>
  <si>
    <t>BaseTemperature 3</t>
  </si>
  <si>
    <t>BaseTemperature 4</t>
  </si>
  <si>
    <t>BaseTemperature 5</t>
  </si>
  <si>
    <t>OptimumTemperatureForAssimilation</t>
  </si>
  <si>
    <t>MaximumTemperatureForAssimilation</t>
  </si>
  <si>
    <t>BaseTemperature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</si>
</sst>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</font>
    <font>
      <sz val="12"/>
      <color theme="1"/>
      <name val="Times New Roman"/>
      <family val="1"/>
      <charset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3" fillId="0" borderId="0" xfId="1" applyFont="1"/>
    <xf numFmtId="0" fontId="2" fillId="0" borderId="0" xfId="1"/>
    <xf numFmtId="0" fontId="3" fillId="0" borderId="0" xfId="1" applyFont="1" applyAlignment="1">
      <alignment horizontal="right" wrapText="1"/>
    </xf>
    <xf numFmtId="0" fontId="3" fillId="0" borderId="0" xfId="1" applyFont="1" applyAlignment="1">
      <alignment vertical="center"/>
    </xf>
    <xf numFmtId="0" fontId="4" fillId="0" borderId="0" xfId="2" applyFont="1" applyAlignment="1"/>
    <xf numFmtId="0" fontId="4" fillId="0" borderId="0" xfId="2" applyFont="1"/>
    <xf numFmtId="0" fontId="1" fillId="0" borderId="0" xfId="2"/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/>
    </xf>
    <xf numFmtId="164" fontId="4" fillId="0" borderId="0" xfId="2" applyNumberFormat="1" applyFont="1"/>
    <xf numFmtId="0" fontId="1" fillId="0" borderId="0" xfId="2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zoomScaleNormal="100" workbookViewId="0">
      <selection activeCell="H11" sqref="H11"/>
    </sheetView>
  </sheetViews>
  <sheetFormatPr defaultColWidth="8.7109375" defaultRowHeight="15" x14ac:dyDescent="0.25"/>
  <cols>
    <col min="1" max="1" width="34.85546875" style="2" customWidth="1"/>
    <col min="2" max="2" width="12.28515625" style="2" customWidth="1"/>
    <col min="3" max="3" width="11.28515625" style="2" customWidth="1"/>
    <col min="4" max="4" width="12.42578125" style="2" customWidth="1"/>
    <col min="5" max="16384" width="8.7109375" style="2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1" t="s">
        <v>4</v>
      </c>
      <c r="B2" s="3">
        <v>31</v>
      </c>
      <c r="C2" s="1">
        <f t="shared" ref="C2:C65" si="0">0.8*B2</f>
        <v>24.8</v>
      </c>
      <c r="D2" s="1">
        <f t="shared" ref="D2:D65" si="1">1.2*B2</f>
        <v>37.199999999999996</v>
      </c>
    </row>
    <row r="3" spans="1:4" ht="15.75" x14ac:dyDescent="0.25">
      <c r="A3" s="1" t="s">
        <v>5</v>
      </c>
      <c r="B3" s="3">
        <v>9</v>
      </c>
      <c r="C3" s="1">
        <f t="shared" si="0"/>
        <v>7.2</v>
      </c>
      <c r="D3" s="1">
        <f t="shared" si="1"/>
        <v>10.799999999999999</v>
      </c>
    </row>
    <row r="4" spans="1:4" ht="15.75" x14ac:dyDescent="0.25">
      <c r="A4" s="1" t="s">
        <v>6</v>
      </c>
      <c r="B4" s="3">
        <v>0.35</v>
      </c>
      <c r="C4" s="1">
        <f t="shared" si="0"/>
        <v>0.27999999999999997</v>
      </c>
      <c r="D4" s="1">
        <f t="shared" si="1"/>
        <v>0.42</v>
      </c>
    </row>
    <row r="5" spans="1:4" ht="15.75" x14ac:dyDescent="0.25">
      <c r="A5" s="1" t="s">
        <v>7</v>
      </c>
      <c r="B5" s="3">
        <v>1.6</v>
      </c>
      <c r="C5" s="1">
        <f t="shared" si="0"/>
        <v>1.2800000000000002</v>
      </c>
      <c r="D5" s="1">
        <f t="shared" si="1"/>
        <v>1.92</v>
      </c>
    </row>
    <row r="6" spans="1:4" ht="15.75" x14ac:dyDescent="0.25">
      <c r="A6" s="1" t="s">
        <v>8</v>
      </c>
      <c r="B6" s="3">
        <v>1</v>
      </c>
      <c r="C6" s="1">
        <f t="shared" si="0"/>
        <v>0.8</v>
      </c>
      <c r="D6" s="1">
        <f t="shared" si="1"/>
        <v>1.2</v>
      </c>
    </row>
    <row r="7" spans="1:4" ht="15.75" x14ac:dyDescent="0.25">
      <c r="A7" s="1" t="s">
        <v>9</v>
      </c>
      <c r="B7" s="3">
        <v>0.7</v>
      </c>
      <c r="C7" s="1">
        <f t="shared" si="0"/>
        <v>0.55999999999999994</v>
      </c>
      <c r="D7" s="1">
        <f t="shared" si="1"/>
        <v>0.84</v>
      </c>
    </row>
    <row r="8" spans="1:4" ht="15.75" x14ac:dyDescent="0.25">
      <c r="A8" s="1" t="s">
        <v>10</v>
      </c>
      <c r="B8" s="3">
        <v>0.8</v>
      </c>
      <c r="C8" s="1">
        <f t="shared" si="0"/>
        <v>0.64000000000000012</v>
      </c>
      <c r="D8" s="1">
        <f t="shared" si="1"/>
        <v>0.96</v>
      </c>
    </row>
    <row r="9" spans="1:4" ht="15.75" x14ac:dyDescent="0.25">
      <c r="A9" s="1" t="s">
        <v>11</v>
      </c>
      <c r="B9" s="3">
        <v>0.8</v>
      </c>
      <c r="C9" s="1">
        <f t="shared" si="0"/>
        <v>0.64000000000000012</v>
      </c>
      <c r="D9" s="1">
        <f t="shared" si="1"/>
        <v>0.96</v>
      </c>
    </row>
    <row r="10" spans="1:4" ht="15.75" x14ac:dyDescent="0.25">
      <c r="A10" s="1" t="s">
        <v>12</v>
      </c>
      <c r="B10" s="3">
        <v>0.8</v>
      </c>
      <c r="C10" s="1">
        <f t="shared" si="0"/>
        <v>0.64000000000000012</v>
      </c>
      <c r="D10" s="1">
        <f t="shared" si="1"/>
        <v>0.96</v>
      </c>
    </row>
    <row r="11" spans="1:4" ht="15.75" x14ac:dyDescent="0.25">
      <c r="A11" s="1" t="s">
        <v>13</v>
      </c>
      <c r="B11" s="3">
        <v>0.7</v>
      </c>
      <c r="C11" s="1">
        <f t="shared" si="0"/>
        <v>0.55999999999999994</v>
      </c>
      <c r="D11" s="1">
        <f t="shared" si="1"/>
        <v>0.84</v>
      </c>
    </row>
    <row r="12" spans="1:4" ht="15.75" x14ac:dyDescent="0.25">
      <c r="A12" s="1" t="s">
        <v>14</v>
      </c>
      <c r="B12" s="3">
        <v>1691</v>
      </c>
      <c r="C12" s="1">
        <f t="shared" si="0"/>
        <v>1352.8000000000002</v>
      </c>
      <c r="D12" s="1">
        <f t="shared" si="1"/>
        <v>2029.1999999999998</v>
      </c>
    </row>
    <row r="13" spans="1:4" ht="15.75" x14ac:dyDescent="0.25">
      <c r="A13" s="1" t="s">
        <v>15</v>
      </c>
      <c r="B13" s="3">
        <v>600</v>
      </c>
      <c r="C13" s="1">
        <f t="shared" si="0"/>
        <v>480</v>
      </c>
      <c r="D13" s="1">
        <f t="shared" si="1"/>
        <v>720</v>
      </c>
    </row>
    <row r="14" spans="1:4" ht="15.75" x14ac:dyDescent="0.25">
      <c r="A14" s="1" t="s">
        <v>16</v>
      </c>
      <c r="B14" s="3">
        <v>100</v>
      </c>
      <c r="C14" s="1">
        <f t="shared" si="0"/>
        <v>80</v>
      </c>
      <c r="D14" s="1">
        <f t="shared" si="1"/>
        <v>120</v>
      </c>
    </row>
    <row r="15" spans="1:4" ht="15.75" x14ac:dyDescent="0.25">
      <c r="A15" s="1" t="s">
        <v>17</v>
      </c>
      <c r="B15" s="3">
        <v>0.5</v>
      </c>
      <c r="C15" s="1">
        <f t="shared" si="0"/>
        <v>0.4</v>
      </c>
      <c r="D15" s="1">
        <f t="shared" si="1"/>
        <v>0.6</v>
      </c>
    </row>
    <row r="16" spans="1:4" ht="15.75" x14ac:dyDescent="0.25">
      <c r="A16" s="1" t="s">
        <v>18</v>
      </c>
      <c r="B16" s="3">
        <v>30</v>
      </c>
      <c r="C16" s="1">
        <f t="shared" si="0"/>
        <v>24</v>
      </c>
      <c r="D16" s="1">
        <f t="shared" si="1"/>
        <v>36</v>
      </c>
    </row>
    <row r="17" spans="1:4" ht="15.75" x14ac:dyDescent="0.25">
      <c r="A17" s="1" t="s">
        <v>19</v>
      </c>
      <c r="B17" s="3">
        <v>30</v>
      </c>
      <c r="C17" s="1">
        <f t="shared" si="0"/>
        <v>24</v>
      </c>
      <c r="D17" s="1">
        <f t="shared" si="1"/>
        <v>36</v>
      </c>
    </row>
    <row r="18" spans="1:4" ht="15.75" x14ac:dyDescent="0.25">
      <c r="A18" s="1" t="s">
        <v>20</v>
      </c>
      <c r="B18" s="3">
        <v>30</v>
      </c>
      <c r="C18" s="1">
        <f t="shared" si="0"/>
        <v>24</v>
      </c>
      <c r="D18" s="1">
        <f t="shared" si="1"/>
        <v>36</v>
      </c>
    </row>
    <row r="19" spans="1:4" ht="15.75" x14ac:dyDescent="0.25">
      <c r="A19" s="1" t="s">
        <v>21</v>
      </c>
      <c r="B19" s="3">
        <v>30</v>
      </c>
      <c r="C19" s="1">
        <f t="shared" si="0"/>
        <v>24</v>
      </c>
      <c r="D19" s="1">
        <f t="shared" si="1"/>
        <v>36</v>
      </c>
    </row>
    <row r="20" spans="1:4" ht="15.75" x14ac:dyDescent="0.25">
      <c r="A20" s="1" t="s">
        <v>22</v>
      </c>
      <c r="B20" s="3">
        <v>30</v>
      </c>
      <c r="C20" s="1">
        <f t="shared" si="0"/>
        <v>24</v>
      </c>
      <c r="D20" s="1">
        <f t="shared" si="1"/>
        <v>36</v>
      </c>
    </row>
    <row r="21" spans="1:4" ht="15.75" x14ac:dyDescent="0.25">
      <c r="A21" s="1" t="s">
        <v>23</v>
      </c>
      <c r="B21" s="3">
        <v>30</v>
      </c>
      <c r="C21" s="1">
        <f t="shared" si="0"/>
        <v>24</v>
      </c>
      <c r="D21" s="1">
        <f t="shared" si="1"/>
        <v>36</v>
      </c>
    </row>
    <row r="22" spans="1:4" ht="15.75" x14ac:dyDescent="0.25">
      <c r="A22" s="1" t="s">
        <v>24</v>
      </c>
      <c r="B22" s="3">
        <v>0.08</v>
      </c>
      <c r="C22" s="1">
        <f t="shared" si="0"/>
        <v>6.4000000000000001E-2</v>
      </c>
      <c r="D22" s="1">
        <f t="shared" si="1"/>
        <v>9.6000000000000002E-2</v>
      </c>
    </row>
    <row r="23" spans="1:4" ht="15.75" x14ac:dyDescent="0.25">
      <c r="A23" s="1" t="s">
        <v>25</v>
      </c>
      <c r="B23" s="3">
        <v>0.08</v>
      </c>
      <c r="C23" s="1">
        <f t="shared" si="0"/>
        <v>6.4000000000000001E-2</v>
      </c>
      <c r="D23" s="1">
        <f t="shared" si="1"/>
        <v>9.6000000000000002E-2</v>
      </c>
    </row>
    <row r="24" spans="1:4" ht="15.75" x14ac:dyDescent="0.25">
      <c r="A24" s="1" t="s">
        <v>26</v>
      </c>
      <c r="B24" s="3">
        <v>1E-3</v>
      </c>
      <c r="C24" s="1">
        <f t="shared" si="0"/>
        <v>8.0000000000000004E-4</v>
      </c>
      <c r="D24" s="1">
        <f t="shared" si="1"/>
        <v>1.1999999999999999E-3</v>
      </c>
    </row>
    <row r="25" spans="1:4" ht="15.75" x14ac:dyDescent="0.25">
      <c r="A25" s="1" t="s">
        <v>27</v>
      </c>
      <c r="B25" s="3">
        <v>5.0000000000000001E-3</v>
      </c>
      <c r="C25" s="1">
        <f t="shared" si="0"/>
        <v>4.0000000000000001E-3</v>
      </c>
      <c r="D25" s="1">
        <f t="shared" si="1"/>
        <v>6.0000000000000001E-3</v>
      </c>
    </row>
    <row r="26" spans="1:4" ht="15.75" x14ac:dyDescent="0.25">
      <c r="A26" s="1" t="s">
        <v>28</v>
      </c>
      <c r="B26" s="3">
        <v>0.01</v>
      </c>
      <c r="C26" s="1">
        <f t="shared" si="0"/>
        <v>8.0000000000000002E-3</v>
      </c>
      <c r="D26" s="1">
        <f t="shared" si="1"/>
        <v>1.2E-2</v>
      </c>
    </row>
    <row r="27" spans="1:4" ht="15.75" x14ac:dyDescent="0.25">
      <c r="A27" s="1" t="s">
        <v>29</v>
      </c>
      <c r="B27" s="3">
        <v>2</v>
      </c>
      <c r="C27" s="1">
        <f t="shared" si="0"/>
        <v>1.6</v>
      </c>
      <c r="D27" s="1">
        <f t="shared" si="1"/>
        <v>2.4</v>
      </c>
    </row>
    <row r="28" spans="1:4" ht="15.75" x14ac:dyDescent="0.25">
      <c r="A28" s="1" t="s">
        <v>30</v>
      </c>
      <c r="B28" s="3">
        <v>8.9999999999999998E-4</v>
      </c>
      <c r="C28" s="1">
        <f t="shared" si="0"/>
        <v>7.2000000000000005E-4</v>
      </c>
      <c r="D28" s="1">
        <f t="shared" si="1"/>
        <v>1.08E-3</v>
      </c>
    </row>
    <row r="29" spans="1:4" ht="15.75" x14ac:dyDescent="0.25">
      <c r="A29" s="1" t="s">
        <v>31</v>
      </c>
      <c r="B29" s="3">
        <v>1E-3</v>
      </c>
      <c r="C29" s="1">
        <f t="shared" si="0"/>
        <v>8.0000000000000004E-4</v>
      </c>
      <c r="D29" s="1">
        <f t="shared" si="1"/>
        <v>1.1999999999999999E-3</v>
      </c>
    </row>
    <row r="30" spans="1:4" ht="15.75" x14ac:dyDescent="0.25">
      <c r="A30" s="1" t="s">
        <v>32</v>
      </c>
      <c r="B30" s="3">
        <v>1E-3</v>
      </c>
      <c r="C30" s="1">
        <f t="shared" si="0"/>
        <v>8.0000000000000004E-4</v>
      </c>
      <c r="D30" s="1">
        <f t="shared" si="1"/>
        <v>1.1999999999999999E-3</v>
      </c>
    </row>
    <row r="31" spans="1:4" ht="15.75" x14ac:dyDescent="0.25">
      <c r="A31" s="1" t="s">
        <v>33</v>
      </c>
      <c r="B31" s="3">
        <v>8.9999999999999998E-4</v>
      </c>
      <c r="C31" s="1">
        <f t="shared" si="0"/>
        <v>7.2000000000000005E-4</v>
      </c>
      <c r="D31" s="1">
        <f t="shared" si="1"/>
        <v>1.08E-3</v>
      </c>
    </row>
    <row r="32" spans="1:4" ht="15.75" x14ac:dyDescent="0.25">
      <c r="A32" s="1" t="s">
        <v>34</v>
      </c>
      <c r="B32" s="3">
        <v>8.9999999999999998E-4</v>
      </c>
      <c r="C32" s="1">
        <f t="shared" si="0"/>
        <v>7.2000000000000005E-4</v>
      </c>
      <c r="D32" s="1">
        <f t="shared" si="1"/>
        <v>1.08E-3</v>
      </c>
    </row>
    <row r="33" spans="1:4" ht="15.75" x14ac:dyDescent="0.25">
      <c r="A33" s="1" t="s">
        <v>35</v>
      </c>
      <c r="B33" s="3">
        <v>8.9999999999999998E-4</v>
      </c>
      <c r="C33" s="1">
        <f t="shared" si="0"/>
        <v>7.2000000000000005E-4</v>
      </c>
      <c r="D33" s="1">
        <f t="shared" si="1"/>
        <v>1.08E-3</v>
      </c>
    </row>
    <row r="34" spans="1:4" ht="15.75" x14ac:dyDescent="0.25">
      <c r="A34" s="1" t="s">
        <v>36</v>
      </c>
      <c r="B34" s="3">
        <v>0.4</v>
      </c>
      <c r="C34" s="1">
        <f t="shared" si="0"/>
        <v>0.32000000000000006</v>
      </c>
      <c r="D34" s="1">
        <f t="shared" si="1"/>
        <v>0.48</v>
      </c>
    </row>
    <row r="35" spans="1:4" ht="15.75" x14ac:dyDescent="0.25">
      <c r="A35" s="1" t="s">
        <v>37</v>
      </c>
      <c r="B35" s="3">
        <v>0.8</v>
      </c>
      <c r="C35" s="1">
        <f t="shared" si="0"/>
        <v>0.64000000000000012</v>
      </c>
      <c r="D35" s="1">
        <f t="shared" si="1"/>
        <v>0.96</v>
      </c>
    </row>
    <row r="36" spans="1:4" ht="15.75" x14ac:dyDescent="0.25">
      <c r="A36" s="1" t="s">
        <v>38</v>
      </c>
      <c r="B36" s="3">
        <v>1</v>
      </c>
      <c r="C36" s="1">
        <f t="shared" si="0"/>
        <v>0.8</v>
      </c>
      <c r="D36" s="1">
        <f t="shared" si="1"/>
        <v>1.2</v>
      </c>
    </row>
    <row r="37" spans="1:4" ht="15.75" x14ac:dyDescent="0.25">
      <c r="A37" s="1" t="s">
        <v>39</v>
      </c>
      <c r="B37" s="3">
        <v>1.35</v>
      </c>
      <c r="C37" s="1">
        <f t="shared" si="0"/>
        <v>1.08</v>
      </c>
      <c r="D37" s="1">
        <f t="shared" si="1"/>
        <v>1.62</v>
      </c>
    </row>
    <row r="38" spans="1:4" ht="15.75" x14ac:dyDescent="0.25">
      <c r="A38" s="1" t="s">
        <v>40</v>
      </c>
      <c r="B38" s="3">
        <v>0.85</v>
      </c>
      <c r="C38" s="1">
        <f t="shared" si="0"/>
        <v>0.68</v>
      </c>
      <c r="D38" s="1">
        <f t="shared" si="1"/>
        <v>1.02</v>
      </c>
    </row>
    <row r="39" spans="1:4" ht="15.75" x14ac:dyDescent="0.25">
      <c r="A39" s="1" t="s">
        <v>41</v>
      </c>
      <c r="B39" s="3">
        <v>0.4</v>
      </c>
      <c r="C39" s="1">
        <f t="shared" si="0"/>
        <v>0.32000000000000006</v>
      </c>
      <c r="D39" s="1">
        <f t="shared" si="1"/>
        <v>0.48</v>
      </c>
    </row>
    <row r="40" spans="1:4" ht="15.75" x14ac:dyDescent="0.25">
      <c r="A40" s="1" t="s">
        <v>42</v>
      </c>
      <c r="B40" s="3">
        <v>100</v>
      </c>
      <c r="C40" s="1">
        <f t="shared" si="0"/>
        <v>80</v>
      </c>
      <c r="D40" s="1">
        <f t="shared" si="1"/>
        <v>120</v>
      </c>
    </row>
    <row r="41" spans="1:4" ht="15.75" x14ac:dyDescent="0.25">
      <c r="A41" s="1" t="s">
        <v>43</v>
      </c>
      <c r="B41" s="3">
        <v>300</v>
      </c>
      <c r="C41" s="1">
        <f t="shared" si="0"/>
        <v>240</v>
      </c>
      <c r="D41" s="1">
        <f t="shared" si="1"/>
        <v>360</v>
      </c>
    </row>
    <row r="42" spans="1:4" ht="15.75" x14ac:dyDescent="0.25">
      <c r="A42" s="1" t="s">
        <v>44</v>
      </c>
      <c r="B42" s="3">
        <v>565</v>
      </c>
      <c r="C42" s="1">
        <f t="shared" si="0"/>
        <v>452</v>
      </c>
      <c r="D42" s="1">
        <f t="shared" si="1"/>
        <v>678</v>
      </c>
    </row>
    <row r="43" spans="1:4" ht="15.75" x14ac:dyDescent="0.25">
      <c r="A43" s="1" t="s">
        <v>45</v>
      </c>
      <c r="B43" s="3">
        <v>608</v>
      </c>
      <c r="C43" s="1">
        <f t="shared" si="0"/>
        <v>486.40000000000003</v>
      </c>
      <c r="D43" s="1">
        <f t="shared" si="1"/>
        <v>729.6</v>
      </c>
    </row>
    <row r="44" spans="1:4" ht="15.75" x14ac:dyDescent="0.25">
      <c r="A44" s="1" t="s">
        <v>46</v>
      </c>
      <c r="B44" s="3">
        <v>1600</v>
      </c>
      <c r="C44" s="1">
        <f t="shared" si="0"/>
        <v>1280</v>
      </c>
      <c r="D44" s="1">
        <f t="shared" si="1"/>
        <v>1920</v>
      </c>
    </row>
    <row r="45" spans="1:4" ht="15.75" x14ac:dyDescent="0.25">
      <c r="A45" s="1" t="s">
        <v>47</v>
      </c>
      <c r="B45" s="3">
        <v>25</v>
      </c>
      <c r="C45" s="1">
        <f t="shared" si="0"/>
        <v>20</v>
      </c>
      <c r="D45" s="1">
        <f t="shared" si="1"/>
        <v>30</v>
      </c>
    </row>
    <row r="46" spans="1:4" ht="15.75" x14ac:dyDescent="0.25">
      <c r="A46" s="1" t="s">
        <v>48</v>
      </c>
      <c r="B46" s="3">
        <v>0.3</v>
      </c>
      <c r="C46" s="1">
        <f t="shared" si="0"/>
        <v>0.24</v>
      </c>
      <c r="D46" s="1">
        <f t="shared" si="1"/>
        <v>0.36</v>
      </c>
    </row>
    <row r="47" spans="1:4" ht="15.75" x14ac:dyDescent="0.25">
      <c r="A47" s="1" t="s">
        <v>94</v>
      </c>
      <c r="B47" s="3">
        <v>3</v>
      </c>
      <c r="C47" s="1">
        <f t="shared" si="0"/>
        <v>2.4000000000000004</v>
      </c>
      <c r="D47" s="1">
        <f t="shared" si="1"/>
        <v>3.5999999999999996</v>
      </c>
    </row>
    <row r="48" spans="1:4" ht="15.75" x14ac:dyDescent="0.25">
      <c r="A48" s="1" t="s">
        <v>49</v>
      </c>
      <c r="B48" s="3">
        <v>3</v>
      </c>
      <c r="C48" s="1">
        <f t="shared" si="0"/>
        <v>2.4000000000000004</v>
      </c>
      <c r="D48" s="1">
        <f t="shared" si="1"/>
        <v>3.5999999999999996</v>
      </c>
    </row>
    <row r="49" spans="1:4" ht="15.75" x14ac:dyDescent="0.25">
      <c r="A49" s="1" t="s">
        <v>51</v>
      </c>
      <c r="B49" s="3">
        <v>0.5</v>
      </c>
      <c r="C49" s="1">
        <f t="shared" si="0"/>
        <v>0.4</v>
      </c>
      <c r="D49" s="1">
        <f t="shared" si="1"/>
        <v>0.6</v>
      </c>
    </row>
    <row r="50" spans="1:4" ht="15.75" x14ac:dyDescent="0.25">
      <c r="A50" s="1" t="s">
        <v>52</v>
      </c>
      <c r="B50" s="3">
        <v>5</v>
      </c>
      <c r="C50" s="1">
        <f t="shared" si="0"/>
        <v>4</v>
      </c>
      <c r="D50" s="1">
        <f t="shared" si="1"/>
        <v>6</v>
      </c>
    </row>
    <row r="51" spans="1:4" ht="15.75" x14ac:dyDescent="0.25">
      <c r="A51" s="1" t="s">
        <v>53</v>
      </c>
      <c r="B51" s="3">
        <v>10</v>
      </c>
      <c r="C51" s="1">
        <f t="shared" si="0"/>
        <v>8</v>
      </c>
      <c r="D51" s="1">
        <f t="shared" si="1"/>
        <v>12</v>
      </c>
    </row>
    <row r="52" spans="1:4" ht="15.75" x14ac:dyDescent="0.25">
      <c r="A52" s="1" t="s">
        <v>54</v>
      </c>
      <c r="B52" s="3">
        <v>0.06</v>
      </c>
      <c r="C52" s="1">
        <f t="shared" si="0"/>
        <v>4.8000000000000001E-2</v>
      </c>
      <c r="D52" s="1">
        <f t="shared" si="1"/>
        <v>7.1999999999999995E-2</v>
      </c>
    </row>
    <row r="53" spans="1:4" ht="15.75" x14ac:dyDescent="0.25">
      <c r="A53" s="1" t="s">
        <v>55</v>
      </c>
      <c r="B53" s="3">
        <v>40</v>
      </c>
      <c r="C53" s="1">
        <f t="shared" si="0"/>
        <v>32</v>
      </c>
      <c r="D53" s="1">
        <f t="shared" si="1"/>
        <v>48</v>
      </c>
    </row>
    <row r="54" spans="1:4" ht="15.75" x14ac:dyDescent="0.25">
      <c r="A54" s="1" t="s">
        <v>56</v>
      </c>
      <c r="B54" s="3">
        <v>5.6449999999999996</v>
      </c>
      <c r="C54" s="1">
        <f t="shared" si="0"/>
        <v>4.516</v>
      </c>
      <c r="D54" s="1">
        <f t="shared" si="1"/>
        <v>6.7739999999999991</v>
      </c>
    </row>
    <row r="55" spans="1:4" ht="15.75" x14ac:dyDescent="0.25">
      <c r="A55" s="1" t="s">
        <v>57</v>
      </c>
      <c r="B55" s="3">
        <v>7</v>
      </c>
      <c r="C55" s="1">
        <f t="shared" si="0"/>
        <v>5.6000000000000005</v>
      </c>
      <c r="D55" s="1">
        <f t="shared" si="1"/>
        <v>8.4</v>
      </c>
    </row>
    <row r="56" spans="1:4" ht="15.75" x14ac:dyDescent="0.25">
      <c r="A56" s="1" t="s">
        <v>58</v>
      </c>
      <c r="B56" s="3">
        <v>0.06</v>
      </c>
      <c r="C56" s="1">
        <f t="shared" si="0"/>
        <v>4.8000000000000001E-2</v>
      </c>
      <c r="D56" s="1">
        <f t="shared" si="1"/>
        <v>7.1999999999999995E-2</v>
      </c>
    </row>
    <row r="57" spans="1:4" ht="15.75" x14ac:dyDescent="0.25">
      <c r="A57" s="1" t="s">
        <v>59</v>
      </c>
      <c r="B57" s="3">
        <v>1.35</v>
      </c>
      <c r="C57" s="1">
        <f t="shared" si="0"/>
        <v>1.08</v>
      </c>
      <c r="D57" s="1">
        <f t="shared" si="1"/>
        <v>1.62</v>
      </c>
    </row>
    <row r="58" spans="1:4" ht="15.75" x14ac:dyDescent="0.25">
      <c r="A58" s="1" t="s">
        <v>60</v>
      </c>
      <c r="B58" s="3">
        <v>1.4999999999999999E-2</v>
      </c>
      <c r="C58" s="1">
        <f t="shared" si="0"/>
        <v>1.2E-2</v>
      </c>
      <c r="D58" s="1">
        <f t="shared" si="1"/>
        <v>1.7999999999999999E-2</v>
      </c>
    </row>
    <row r="59" spans="1:4" ht="15.75" x14ac:dyDescent="0.25">
      <c r="A59" s="1" t="s">
        <v>61</v>
      </c>
      <c r="B59" s="3">
        <v>0.03</v>
      </c>
      <c r="C59" s="1">
        <f t="shared" si="0"/>
        <v>2.4E-2</v>
      </c>
      <c r="D59" s="1">
        <f t="shared" si="1"/>
        <v>3.5999999999999997E-2</v>
      </c>
    </row>
    <row r="60" spans="1:4" ht="15.75" x14ac:dyDescent="0.25">
      <c r="A60" s="1" t="s">
        <v>62</v>
      </c>
      <c r="B60" s="3">
        <v>3.0000000000000001E-3</v>
      </c>
      <c r="C60" s="1">
        <f t="shared" si="0"/>
        <v>2.4000000000000002E-3</v>
      </c>
      <c r="D60" s="1">
        <f t="shared" si="1"/>
        <v>3.5999999999999999E-3</v>
      </c>
    </row>
    <row r="61" spans="1:4" ht="15.75" x14ac:dyDescent="0.25">
      <c r="A61" s="1" t="s">
        <v>63</v>
      </c>
      <c r="B61" s="3">
        <v>0.01</v>
      </c>
      <c r="C61" s="1">
        <f t="shared" si="0"/>
        <v>8.0000000000000002E-3</v>
      </c>
      <c r="D61" s="1">
        <f t="shared" si="1"/>
        <v>1.2E-2</v>
      </c>
    </row>
    <row r="62" spans="1:4" ht="15.75" x14ac:dyDescent="0.25">
      <c r="A62" s="1" t="s">
        <v>64</v>
      </c>
      <c r="B62" s="3">
        <v>1.4999999999999999E-2</v>
      </c>
      <c r="C62" s="1">
        <f t="shared" si="0"/>
        <v>1.2E-2</v>
      </c>
      <c r="D62" s="1">
        <f t="shared" si="1"/>
        <v>1.7999999999999999E-2</v>
      </c>
    </row>
    <row r="63" spans="1:4" ht="15.75" x14ac:dyDescent="0.25">
      <c r="A63" s="1" t="s">
        <v>65</v>
      </c>
      <c r="B63" s="3">
        <v>0.03</v>
      </c>
      <c r="C63" s="1">
        <f t="shared" si="0"/>
        <v>2.4E-2</v>
      </c>
      <c r="D63" s="1">
        <f t="shared" si="1"/>
        <v>3.5999999999999997E-2</v>
      </c>
    </row>
    <row r="64" spans="1:4" ht="15.75" x14ac:dyDescent="0.25">
      <c r="A64" s="1" t="s">
        <v>66</v>
      </c>
      <c r="B64" s="3">
        <v>3.0000000000000001E-3</v>
      </c>
      <c r="C64" s="1">
        <f t="shared" si="0"/>
        <v>2.4000000000000002E-3</v>
      </c>
      <c r="D64" s="1">
        <f t="shared" si="1"/>
        <v>3.5999999999999999E-3</v>
      </c>
    </row>
    <row r="65" spans="1:4" ht="15.75" x14ac:dyDescent="0.25">
      <c r="A65" s="1" t="s">
        <v>67</v>
      </c>
      <c r="B65" s="3">
        <v>0.01</v>
      </c>
      <c r="C65" s="1">
        <f t="shared" si="0"/>
        <v>8.0000000000000002E-3</v>
      </c>
      <c r="D65" s="1">
        <f t="shared" si="1"/>
        <v>1.2E-2</v>
      </c>
    </row>
    <row r="66" spans="1:4" ht="15.75" x14ac:dyDescent="0.25">
      <c r="A66" s="1" t="s">
        <v>68</v>
      </c>
      <c r="B66" s="3">
        <v>1.1999999999999999E-3</v>
      </c>
      <c r="C66" s="1">
        <f t="shared" ref="C66:C77" si="2">0.8*B66</f>
        <v>9.5999999999999992E-4</v>
      </c>
      <c r="D66" s="1">
        <f t="shared" ref="D66:D77" si="3">1.2*B66</f>
        <v>1.4399999999999999E-3</v>
      </c>
    </row>
    <row r="67" spans="1:4" ht="15.75" x14ac:dyDescent="0.25">
      <c r="A67" s="1" t="s">
        <v>69</v>
      </c>
      <c r="B67" s="3">
        <v>2</v>
      </c>
      <c r="C67" s="1">
        <f t="shared" si="2"/>
        <v>1.6</v>
      </c>
      <c r="D67" s="1">
        <f t="shared" si="3"/>
        <v>2.4</v>
      </c>
    </row>
    <row r="68" spans="1:4" ht="15.75" x14ac:dyDescent="0.25">
      <c r="A68" s="1" t="s">
        <v>70</v>
      </c>
      <c r="B68" s="1">
        <v>0.08</v>
      </c>
      <c r="C68" s="1">
        <f t="shared" si="2"/>
        <v>6.4000000000000001E-2</v>
      </c>
      <c r="D68" s="1">
        <f t="shared" si="3"/>
        <v>9.6000000000000002E-2</v>
      </c>
    </row>
    <row r="69" spans="1:4" ht="15.75" x14ac:dyDescent="0.25">
      <c r="A69" s="1" t="s">
        <v>71</v>
      </c>
      <c r="B69" s="1">
        <v>0.1</v>
      </c>
      <c r="C69" s="1">
        <f t="shared" si="2"/>
        <v>8.0000000000000016E-2</v>
      </c>
      <c r="D69" s="1">
        <f t="shared" si="3"/>
        <v>0.12</v>
      </c>
    </row>
    <row r="70" spans="1:4" ht="15.75" x14ac:dyDescent="0.25">
      <c r="A70" s="1" t="s">
        <v>72</v>
      </c>
      <c r="B70" s="1">
        <v>38</v>
      </c>
      <c r="C70" s="1">
        <f t="shared" si="2"/>
        <v>30.400000000000002</v>
      </c>
      <c r="D70" s="1">
        <f t="shared" si="3"/>
        <v>45.6</v>
      </c>
    </row>
    <row r="71" spans="1:4" ht="15.75" x14ac:dyDescent="0.25">
      <c r="A71" s="1" t="s">
        <v>73</v>
      </c>
      <c r="B71" s="1">
        <v>0.08</v>
      </c>
      <c r="C71" s="1">
        <f t="shared" si="2"/>
        <v>6.4000000000000001E-2</v>
      </c>
      <c r="D71" s="1">
        <f t="shared" si="3"/>
        <v>9.6000000000000002E-2</v>
      </c>
    </row>
    <row r="72" spans="1:4" ht="15.75" x14ac:dyDescent="0.25">
      <c r="A72" s="1" t="s">
        <v>74</v>
      </c>
      <c r="B72" s="1">
        <v>44</v>
      </c>
      <c r="C72" s="1">
        <f t="shared" si="2"/>
        <v>35.200000000000003</v>
      </c>
      <c r="D72" s="1">
        <f t="shared" si="3"/>
        <v>52.8</v>
      </c>
    </row>
    <row r="73" spans="1:4" ht="15.75" x14ac:dyDescent="0.25">
      <c r="A73" s="1" t="s">
        <v>75</v>
      </c>
      <c r="B73" s="1">
        <v>6</v>
      </c>
      <c r="C73" s="1">
        <f t="shared" si="2"/>
        <v>4.8000000000000007</v>
      </c>
      <c r="D73" s="1">
        <f t="shared" si="3"/>
        <v>7.1999999999999993</v>
      </c>
    </row>
    <row r="74" spans="1:4" ht="15.75" x14ac:dyDescent="0.25">
      <c r="A74" s="1" t="s">
        <v>76</v>
      </c>
      <c r="B74" s="1">
        <v>0.23</v>
      </c>
      <c r="C74" s="1">
        <f t="shared" si="2"/>
        <v>0.18400000000000002</v>
      </c>
      <c r="D74" s="1">
        <f t="shared" si="3"/>
        <v>0.27600000000000002</v>
      </c>
    </row>
    <row r="75" spans="1:4" ht="15.75" x14ac:dyDescent="0.25">
      <c r="A75" s="1" t="s">
        <v>77</v>
      </c>
      <c r="B75" s="1">
        <v>1.44</v>
      </c>
      <c r="C75" s="1">
        <f t="shared" si="2"/>
        <v>1.1519999999999999</v>
      </c>
      <c r="D75" s="1">
        <f t="shared" si="3"/>
        <v>1.728</v>
      </c>
    </row>
    <row r="76" spans="1:4" ht="15.75" x14ac:dyDescent="0.25">
      <c r="A76" s="1" t="s">
        <v>78</v>
      </c>
      <c r="B76" s="1">
        <v>2.5</v>
      </c>
      <c r="C76" s="1">
        <f t="shared" si="2"/>
        <v>2</v>
      </c>
      <c r="D76" s="1">
        <f t="shared" si="3"/>
        <v>3</v>
      </c>
    </row>
    <row r="77" spans="1:4" ht="15.75" x14ac:dyDescent="0.25">
      <c r="A77" s="1" t="s">
        <v>79</v>
      </c>
      <c r="B77" s="1">
        <v>40</v>
      </c>
      <c r="C77" s="1">
        <f t="shared" si="2"/>
        <v>32</v>
      </c>
      <c r="D77" s="1">
        <f t="shared" si="3"/>
        <v>48</v>
      </c>
    </row>
    <row r="78" spans="1:4" ht="15.75" x14ac:dyDescent="0.25">
      <c r="A78" s="1"/>
      <c r="B78" s="1"/>
      <c r="C78" s="1"/>
      <c r="D78" s="1"/>
    </row>
    <row r="79" spans="1:4" ht="15.75" x14ac:dyDescent="0.25">
      <c r="A79" s="1"/>
      <c r="B79" s="1"/>
      <c r="C79" s="1"/>
      <c r="D79" s="1"/>
    </row>
    <row r="80" spans="1:4" ht="15.75" x14ac:dyDescent="0.25">
      <c r="A80" s="1"/>
      <c r="B80" s="1"/>
      <c r="C80" s="1"/>
      <c r="D80" s="1"/>
    </row>
    <row r="81" spans="1:4" ht="15.75" x14ac:dyDescent="0.25">
      <c r="A81" s="1"/>
      <c r="B81" s="1"/>
      <c r="C81" s="1"/>
      <c r="D81" s="1"/>
    </row>
    <row r="82" spans="1:4" ht="15.75" x14ac:dyDescent="0.25">
      <c r="A82" s="1"/>
      <c r="B82" s="1"/>
      <c r="C82" s="1"/>
      <c r="D82" s="1"/>
    </row>
    <row r="83" spans="1:4" ht="15.75" x14ac:dyDescent="0.25">
      <c r="A83" s="1"/>
      <c r="B83" s="1"/>
      <c r="C83" s="1"/>
      <c r="D83" s="1"/>
    </row>
    <row r="84" spans="1:4" ht="15.75" x14ac:dyDescent="0.25">
      <c r="A84" s="1"/>
      <c r="B84" s="1"/>
      <c r="C84" s="1"/>
      <c r="D84" s="1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6"/>
  <sheetViews>
    <sheetView tabSelected="1" topLeftCell="A52" zoomScaleNormal="100" workbookViewId="0">
      <selection activeCell="O72" sqref="O72"/>
    </sheetView>
  </sheetViews>
  <sheetFormatPr defaultColWidth="8.7109375" defaultRowHeight="15" customHeight="1" x14ac:dyDescent="0.25"/>
  <cols>
    <col min="1" max="1" width="34.85546875" style="2" customWidth="1"/>
    <col min="2" max="2" width="12.28515625" style="2" customWidth="1"/>
    <col min="3" max="3" width="11.28515625" style="2" customWidth="1"/>
    <col min="4" max="4" width="12.42578125" style="2" customWidth="1"/>
    <col min="5" max="16384" width="8.710937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80</v>
      </c>
      <c r="B2" s="4">
        <v>7</v>
      </c>
      <c r="C2" s="1">
        <f t="shared" ref="C2:C65" si="0">0.8*B2</f>
        <v>5.6000000000000005</v>
      </c>
      <c r="D2" s="1">
        <f t="shared" ref="D2:D65" si="1">1.2*B2</f>
        <v>8.4</v>
      </c>
    </row>
    <row r="3" spans="1:4" x14ac:dyDescent="0.25">
      <c r="A3" s="1" t="s">
        <v>81</v>
      </c>
      <c r="B3" s="4">
        <v>7</v>
      </c>
      <c r="C3" s="1">
        <f t="shared" si="0"/>
        <v>5.6000000000000005</v>
      </c>
      <c r="D3" s="1">
        <f t="shared" si="1"/>
        <v>8.4</v>
      </c>
    </row>
    <row r="4" spans="1:4" x14ac:dyDescent="0.25">
      <c r="A4" s="1" t="s">
        <v>82</v>
      </c>
      <c r="B4" s="4">
        <v>620</v>
      </c>
      <c r="C4" s="1">
        <f t="shared" si="0"/>
        <v>496</v>
      </c>
      <c r="D4" s="1">
        <f t="shared" si="1"/>
        <v>744</v>
      </c>
    </row>
    <row r="5" spans="1:4" x14ac:dyDescent="0.25">
      <c r="A5" s="1" t="s">
        <v>4</v>
      </c>
      <c r="B5" s="4">
        <v>31</v>
      </c>
      <c r="C5" s="1">
        <f t="shared" si="0"/>
        <v>24.8</v>
      </c>
      <c r="D5" s="1">
        <f t="shared" si="1"/>
        <v>37.199999999999996</v>
      </c>
    </row>
    <row r="6" spans="1:4" x14ac:dyDescent="0.25">
      <c r="A6" s="1" t="s">
        <v>5</v>
      </c>
      <c r="B6" s="4">
        <v>6</v>
      </c>
      <c r="C6" s="1">
        <f t="shared" si="0"/>
        <v>4.8000000000000007</v>
      </c>
      <c r="D6" s="1">
        <f t="shared" si="1"/>
        <v>7.1999999999999993</v>
      </c>
    </row>
    <row r="7" spans="1:4" x14ac:dyDescent="0.25">
      <c r="A7" s="1" t="s">
        <v>6</v>
      </c>
      <c r="B7" s="4">
        <v>0.5</v>
      </c>
      <c r="C7" s="1">
        <f t="shared" si="0"/>
        <v>0.4</v>
      </c>
      <c r="D7" s="1">
        <f t="shared" si="1"/>
        <v>0.6</v>
      </c>
    </row>
    <row r="8" spans="1:4" x14ac:dyDescent="0.25">
      <c r="A8" s="1" t="s">
        <v>7</v>
      </c>
      <c r="B8" s="4">
        <v>1.3</v>
      </c>
      <c r="C8" s="1">
        <f t="shared" si="0"/>
        <v>1.04</v>
      </c>
      <c r="D8" s="1">
        <f t="shared" si="1"/>
        <v>1.56</v>
      </c>
    </row>
    <row r="9" spans="1:4" x14ac:dyDescent="0.25">
      <c r="A9" s="1" t="s">
        <v>83</v>
      </c>
      <c r="B9" s="4">
        <v>20</v>
      </c>
      <c r="C9" s="1">
        <f t="shared" si="0"/>
        <v>16</v>
      </c>
      <c r="D9" s="1">
        <f t="shared" si="1"/>
        <v>24</v>
      </c>
    </row>
    <row r="10" spans="1:4" x14ac:dyDescent="0.25">
      <c r="A10" s="1" t="s">
        <v>84</v>
      </c>
      <c r="B10" s="4">
        <v>20</v>
      </c>
      <c r="C10" s="1">
        <f t="shared" si="0"/>
        <v>16</v>
      </c>
      <c r="D10" s="1">
        <f t="shared" si="1"/>
        <v>24</v>
      </c>
    </row>
    <row r="11" spans="1:4" x14ac:dyDescent="0.25">
      <c r="A11" s="1" t="s">
        <v>85</v>
      </c>
      <c r="B11" s="4">
        <v>20</v>
      </c>
      <c r="C11" s="1">
        <f t="shared" si="0"/>
        <v>16</v>
      </c>
      <c r="D11" s="1">
        <f t="shared" si="1"/>
        <v>24</v>
      </c>
    </row>
    <row r="12" spans="1:4" x14ac:dyDescent="0.25">
      <c r="A12" s="1" t="s">
        <v>8</v>
      </c>
      <c r="B12" s="4">
        <v>1</v>
      </c>
      <c r="C12" s="1">
        <f t="shared" si="0"/>
        <v>0.8</v>
      </c>
      <c r="D12" s="1">
        <f t="shared" si="1"/>
        <v>1.2</v>
      </c>
    </row>
    <row r="13" spans="1:4" x14ac:dyDescent="0.25">
      <c r="A13" s="1" t="s">
        <v>9</v>
      </c>
      <c r="B13" s="4">
        <v>0.9</v>
      </c>
      <c r="C13" s="1">
        <f t="shared" si="0"/>
        <v>0.72000000000000008</v>
      </c>
      <c r="D13" s="1">
        <f t="shared" si="1"/>
        <v>1.08</v>
      </c>
    </row>
    <row r="14" spans="1:4" x14ac:dyDescent="0.25">
      <c r="A14" s="1" t="s">
        <v>10</v>
      </c>
      <c r="B14" s="1">
        <v>1</v>
      </c>
      <c r="C14" s="1">
        <f t="shared" si="0"/>
        <v>0.8</v>
      </c>
      <c r="D14" s="1">
        <f t="shared" si="1"/>
        <v>1.2</v>
      </c>
    </row>
    <row r="15" spans="1:4" x14ac:dyDescent="0.25">
      <c r="A15" s="1" t="s">
        <v>11</v>
      </c>
      <c r="B15" s="1">
        <v>1</v>
      </c>
      <c r="C15" s="1">
        <f t="shared" si="0"/>
        <v>0.8</v>
      </c>
      <c r="D15" s="1">
        <f t="shared" si="1"/>
        <v>1.2</v>
      </c>
    </row>
    <row r="16" spans="1:4" x14ac:dyDescent="0.25">
      <c r="A16" s="1" t="s">
        <v>12</v>
      </c>
      <c r="B16" s="4">
        <v>0.9</v>
      </c>
      <c r="C16" s="1">
        <f t="shared" si="0"/>
        <v>0.72000000000000008</v>
      </c>
      <c r="D16" s="1">
        <f t="shared" si="1"/>
        <v>1.08</v>
      </c>
    </row>
    <row r="17" spans="1:4" x14ac:dyDescent="0.25">
      <c r="A17" s="1" t="s">
        <v>13</v>
      </c>
      <c r="B17" s="4">
        <v>0.8</v>
      </c>
      <c r="C17" s="1">
        <f t="shared" si="0"/>
        <v>0.64000000000000012</v>
      </c>
      <c r="D17" s="1">
        <f t="shared" si="1"/>
        <v>0.96</v>
      </c>
    </row>
    <row r="18" spans="1:4" x14ac:dyDescent="0.25">
      <c r="A18" s="1" t="s">
        <v>86</v>
      </c>
      <c r="B18" s="4">
        <v>740</v>
      </c>
      <c r="C18" s="1">
        <f t="shared" si="0"/>
        <v>592</v>
      </c>
      <c r="D18" s="1">
        <f t="shared" si="1"/>
        <v>888</v>
      </c>
    </row>
    <row r="19" spans="1:4" x14ac:dyDescent="0.25">
      <c r="A19" s="1" t="s">
        <v>14</v>
      </c>
      <c r="B19" s="4">
        <v>1676</v>
      </c>
      <c r="C19" s="1">
        <f t="shared" si="0"/>
        <v>1340.8000000000002</v>
      </c>
      <c r="D19" s="1">
        <f t="shared" si="1"/>
        <v>2011.1999999999998</v>
      </c>
    </row>
    <row r="20" spans="1:4" x14ac:dyDescent="0.25">
      <c r="A20" s="1" t="s">
        <v>15</v>
      </c>
      <c r="B20" s="4">
        <v>461</v>
      </c>
      <c r="C20" s="1">
        <f t="shared" si="0"/>
        <v>368.8</v>
      </c>
      <c r="D20" s="1">
        <f t="shared" si="1"/>
        <v>553.19999999999993</v>
      </c>
    </row>
    <row r="21" spans="1:4" x14ac:dyDescent="0.25">
      <c r="A21" s="1" t="s">
        <v>16</v>
      </c>
      <c r="B21" s="4">
        <v>30</v>
      </c>
      <c r="C21" s="1">
        <f t="shared" si="0"/>
        <v>24</v>
      </c>
      <c r="D21" s="1">
        <f t="shared" si="1"/>
        <v>36</v>
      </c>
    </row>
    <row r="22" spans="1:4" x14ac:dyDescent="0.25">
      <c r="A22" s="1" t="s">
        <v>17</v>
      </c>
      <c r="B22" s="4">
        <v>0.83</v>
      </c>
      <c r="C22" s="1">
        <f t="shared" si="0"/>
        <v>0.66400000000000003</v>
      </c>
      <c r="D22" s="1">
        <f t="shared" si="1"/>
        <v>0.99599999999999989</v>
      </c>
    </row>
    <row r="23" spans="1:4" x14ac:dyDescent="0.25">
      <c r="A23" s="1" t="s">
        <v>18</v>
      </c>
      <c r="B23" s="4">
        <v>30</v>
      </c>
      <c r="C23" s="1">
        <f t="shared" si="0"/>
        <v>24</v>
      </c>
      <c r="D23" s="1">
        <f t="shared" si="1"/>
        <v>36</v>
      </c>
    </row>
    <row r="24" spans="1:4" x14ac:dyDescent="0.25">
      <c r="A24" s="1" t="s">
        <v>19</v>
      </c>
      <c r="B24" s="4">
        <v>30</v>
      </c>
      <c r="C24" s="1">
        <f t="shared" si="0"/>
        <v>24</v>
      </c>
      <c r="D24" s="1">
        <f t="shared" si="1"/>
        <v>36</v>
      </c>
    </row>
    <row r="25" spans="1:4" x14ac:dyDescent="0.25">
      <c r="A25" s="1" t="s">
        <v>20</v>
      </c>
      <c r="B25" s="4">
        <v>30</v>
      </c>
      <c r="C25" s="1">
        <f t="shared" si="0"/>
        <v>24</v>
      </c>
      <c r="D25" s="1">
        <f t="shared" si="1"/>
        <v>36</v>
      </c>
    </row>
    <row r="26" spans="1:4" x14ac:dyDescent="0.25">
      <c r="A26" s="1" t="s">
        <v>21</v>
      </c>
      <c r="B26" s="4">
        <v>30</v>
      </c>
      <c r="C26" s="1">
        <f t="shared" si="0"/>
        <v>24</v>
      </c>
      <c r="D26" s="1">
        <f t="shared" si="1"/>
        <v>36</v>
      </c>
    </row>
    <row r="27" spans="1:4" x14ac:dyDescent="0.25">
      <c r="A27" s="1" t="s">
        <v>22</v>
      </c>
      <c r="B27" s="4">
        <v>30</v>
      </c>
      <c r="C27" s="1">
        <f t="shared" si="0"/>
        <v>24</v>
      </c>
      <c r="D27" s="1">
        <f t="shared" si="1"/>
        <v>36</v>
      </c>
    </row>
    <row r="28" spans="1:4" x14ac:dyDescent="0.25">
      <c r="A28" s="1" t="s">
        <v>23</v>
      </c>
      <c r="B28" s="4">
        <v>30</v>
      </c>
      <c r="C28" s="1">
        <f t="shared" si="0"/>
        <v>24</v>
      </c>
      <c r="D28" s="1">
        <f t="shared" si="1"/>
        <v>36</v>
      </c>
    </row>
    <row r="29" spans="1:4" x14ac:dyDescent="0.25">
      <c r="A29" s="1" t="s">
        <v>24</v>
      </c>
      <c r="B29" s="4">
        <v>0.05</v>
      </c>
      <c r="C29" s="1">
        <f t="shared" si="0"/>
        <v>4.0000000000000008E-2</v>
      </c>
      <c r="D29" s="1">
        <f t="shared" si="1"/>
        <v>0.06</v>
      </c>
    </row>
    <row r="30" spans="1:4" x14ac:dyDescent="0.25">
      <c r="A30" s="1" t="s">
        <v>25</v>
      </c>
      <c r="B30" s="4">
        <v>0.05</v>
      </c>
      <c r="C30" s="1">
        <f t="shared" si="0"/>
        <v>4.0000000000000008E-2</v>
      </c>
      <c r="D30" s="1">
        <f t="shared" si="1"/>
        <v>0.06</v>
      </c>
    </row>
    <row r="31" spans="1:4" x14ac:dyDescent="0.25">
      <c r="A31" s="1" t="s">
        <v>29</v>
      </c>
      <c r="B31" s="4">
        <v>0.5</v>
      </c>
      <c r="C31" s="1">
        <f t="shared" si="0"/>
        <v>0.4</v>
      </c>
      <c r="D31" s="1">
        <f t="shared" si="1"/>
        <v>0.6</v>
      </c>
    </row>
    <row r="32" spans="1:4" x14ac:dyDescent="0.25">
      <c r="A32" s="1" t="s">
        <v>87</v>
      </c>
      <c r="B32" s="4">
        <v>0.54</v>
      </c>
      <c r="C32" s="1">
        <f t="shared" si="0"/>
        <v>0.43200000000000005</v>
      </c>
      <c r="D32" s="1">
        <f t="shared" si="1"/>
        <v>0.64800000000000002</v>
      </c>
    </row>
    <row r="33" spans="1:4" x14ac:dyDescent="0.25">
      <c r="A33" s="1" t="s">
        <v>30</v>
      </c>
      <c r="B33" s="4">
        <v>2E-3</v>
      </c>
      <c r="C33" s="1">
        <f t="shared" si="0"/>
        <v>1.6000000000000001E-3</v>
      </c>
      <c r="D33" s="1">
        <f t="shared" si="1"/>
        <v>2.3999999999999998E-3</v>
      </c>
    </row>
    <row r="34" spans="1:4" x14ac:dyDescent="0.25">
      <c r="A34" s="1" t="s">
        <v>31</v>
      </c>
      <c r="B34" s="1">
        <v>1.8E-3</v>
      </c>
      <c r="C34" s="1">
        <f t="shared" si="0"/>
        <v>1.4400000000000001E-3</v>
      </c>
      <c r="D34" s="1">
        <f t="shared" si="1"/>
        <v>2.16E-3</v>
      </c>
    </row>
    <row r="35" spans="1:4" x14ac:dyDescent="0.25">
      <c r="A35" s="1" t="s">
        <v>32</v>
      </c>
      <c r="B35" s="1">
        <v>1.6999999999999999E-3</v>
      </c>
      <c r="C35" s="1">
        <f t="shared" si="0"/>
        <v>1.3600000000000001E-3</v>
      </c>
      <c r="D35" s="1">
        <f t="shared" si="1"/>
        <v>2.0399999999999997E-3</v>
      </c>
    </row>
    <row r="36" spans="1:4" x14ac:dyDescent="0.25">
      <c r="A36" s="1" t="s">
        <v>33</v>
      </c>
      <c r="B36" s="1">
        <v>1.6000000000000001E-3</v>
      </c>
      <c r="C36" s="1">
        <f t="shared" si="0"/>
        <v>1.2800000000000001E-3</v>
      </c>
      <c r="D36" s="1">
        <f t="shared" si="1"/>
        <v>1.92E-3</v>
      </c>
    </row>
    <row r="37" spans="1:4" x14ac:dyDescent="0.25">
      <c r="A37" s="1" t="s">
        <v>34</v>
      </c>
      <c r="B37" s="1">
        <v>1.5E-3</v>
      </c>
      <c r="C37" s="1">
        <f t="shared" si="0"/>
        <v>1.2000000000000001E-3</v>
      </c>
      <c r="D37" s="1">
        <f t="shared" si="1"/>
        <v>1.8E-3</v>
      </c>
    </row>
    <row r="38" spans="1:4" x14ac:dyDescent="0.25">
      <c r="A38" s="1" t="s">
        <v>35</v>
      </c>
      <c r="B38" s="1">
        <v>1.5E-3</v>
      </c>
      <c r="C38" s="1">
        <f t="shared" si="0"/>
        <v>1.2000000000000001E-3</v>
      </c>
      <c r="D38" s="1">
        <f t="shared" si="1"/>
        <v>1.8E-3</v>
      </c>
    </row>
    <row r="39" spans="1:4" x14ac:dyDescent="0.25">
      <c r="A39" s="1" t="s">
        <v>36</v>
      </c>
      <c r="B39" s="1">
        <v>0.4</v>
      </c>
      <c r="C39" s="1">
        <f t="shared" si="0"/>
        <v>0.32000000000000006</v>
      </c>
      <c r="D39" s="1">
        <f t="shared" si="1"/>
        <v>0.48</v>
      </c>
    </row>
    <row r="40" spans="1:4" x14ac:dyDescent="0.25">
      <c r="A40" s="1" t="s">
        <v>37</v>
      </c>
      <c r="B40" s="1">
        <v>0.7</v>
      </c>
      <c r="C40" s="1">
        <f t="shared" si="0"/>
        <v>0.55999999999999994</v>
      </c>
      <c r="D40" s="1">
        <f t="shared" si="1"/>
        <v>0.84</v>
      </c>
    </row>
    <row r="41" spans="1:4" x14ac:dyDescent="0.25">
      <c r="A41" s="1" t="s">
        <v>38</v>
      </c>
      <c r="B41" s="1">
        <v>1.1000000000000001</v>
      </c>
      <c r="C41" s="1">
        <f t="shared" si="0"/>
        <v>0.88000000000000012</v>
      </c>
      <c r="D41" s="1">
        <f t="shared" si="1"/>
        <v>1.32</v>
      </c>
    </row>
    <row r="42" spans="1:4" x14ac:dyDescent="0.25">
      <c r="A42" s="1" t="s">
        <v>39</v>
      </c>
      <c r="B42" s="1">
        <v>1.1000000000000001</v>
      </c>
      <c r="C42" s="1">
        <f t="shared" si="0"/>
        <v>0.88000000000000012</v>
      </c>
      <c r="D42" s="1">
        <f t="shared" si="1"/>
        <v>1.32</v>
      </c>
    </row>
    <row r="43" spans="1:4" x14ac:dyDescent="0.25">
      <c r="A43" s="1" t="s">
        <v>40</v>
      </c>
      <c r="B43" s="1">
        <v>0.8</v>
      </c>
      <c r="C43" s="1">
        <f t="shared" si="0"/>
        <v>0.64000000000000012</v>
      </c>
      <c r="D43" s="1">
        <f t="shared" si="1"/>
        <v>0.96</v>
      </c>
    </row>
    <row r="44" spans="1:4" x14ac:dyDescent="0.25">
      <c r="A44" s="1" t="s">
        <v>41</v>
      </c>
      <c r="B44" s="1">
        <v>0.25</v>
      </c>
      <c r="C44" s="1">
        <f t="shared" si="0"/>
        <v>0.2</v>
      </c>
      <c r="D44" s="1">
        <f t="shared" si="1"/>
        <v>0.3</v>
      </c>
    </row>
    <row r="45" spans="1:4" x14ac:dyDescent="0.25">
      <c r="A45" s="1" t="s">
        <v>42</v>
      </c>
      <c r="B45" s="1">
        <v>148</v>
      </c>
      <c r="C45" s="1">
        <f t="shared" si="0"/>
        <v>118.4</v>
      </c>
      <c r="D45" s="1">
        <f t="shared" si="1"/>
        <v>177.6</v>
      </c>
    </row>
    <row r="46" spans="1:4" x14ac:dyDescent="0.25">
      <c r="A46" s="1" t="s">
        <v>43</v>
      </c>
      <c r="B46" s="1">
        <v>284</v>
      </c>
      <c r="C46" s="1">
        <f t="shared" si="0"/>
        <v>227.20000000000002</v>
      </c>
      <c r="D46" s="1">
        <f t="shared" si="1"/>
        <v>340.8</v>
      </c>
    </row>
    <row r="47" spans="1:4" x14ac:dyDescent="0.25">
      <c r="A47" s="1" t="s">
        <v>44</v>
      </c>
      <c r="B47" s="1">
        <v>380</v>
      </c>
      <c r="C47" s="1">
        <f t="shared" si="0"/>
        <v>304</v>
      </c>
      <c r="D47" s="1">
        <f t="shared" si="1"/>
        <v>456</v>
      </c>
    </row>
    <row r="48" spans="1:4" x14ac:dyDescent="0.25">
      <c r="A48" s="1" t="s">
        <v>45</v>
      </c>
      <c r="B48" s="1">
        <v>180</v>
      </c>
      <c r="C48" s="1">
        <f t="shared" si="0"/>
        <v>144</v>
      </c>
      <c r="D48" s="1">
        <f t="shared" si="1"/>
        <v>216</v>
      </c>
    </row>
    <row r="49" spans="1:4" x14ac:dyDescent="0.25">
      <c r="A49" s="1" t="s">
        <v>46</v>
      </c>
      <c r="B49" s="1">
        <v>420</v>
      </c>
      <c r="C49" s="1">
        <f t="shared" si="0"/>
        <v>336</v>
      </c>
      <c r="D49" s="1">
        <f t="shared" si="1"/>
        <v>504</v>
      </c>
    </row>
    <row r="50" spans="1:4" x14ac:dyDescent="0.25">
      <c r="A50" s="1" t="s">
        <v>47</v>
      </c>
      <c r="B50" s="1">
        <v>25</v>
      </c>
      <c r="C50" s="1">
        <f t="shared" si="0"/>
        <v>20</v>
      </c>
      <c r="D50" s="1">
        <f t="shared" si="1"/>
        <v>30</v>
      </c>
    </row>
    <row r="51" spans="1:4" x14ac:dyDescent="0.25">
      <c r="A51" s="1" t="s">
        <v>88</v>
      </c>
      <c r="B51" s="1">
        <v>50</v>
      </c>
      <c r="C51" s="1">
        <f t="shared" si="0"/>
        <v>40</v>
      </c>
      <c r="D51" s="1">
        <f t="shared" si="1"/>
        <v>60</v>
      </c>
    </row>
    <row r="52" spans="1:4" x14ac:dyDescent="0.25">
      <c r="A52" s="1" t="s">
        <v>48</v>
      </c>
      <c r="B52" s="1">
        <v>0.3</v>
      </c>
      <c r="C52" s="1">
        <f t="shared" si="0"/>
        <v>0.24</v>
      </c>
      <c r="D52" s="1">
        <f t="shared" si="1"/>
        <v>0.36</v>
      </c>
    </row>
    <row r="53" spans="1:4" x14ac:dyDescent="0.25">
      <c r="A53" s="1" t="s">
        <v>49</v>
      </c>
      <c r="B53" s="1">
        <v>1</v>
      </c>
      <c r="C53" s="1">
        <f t="shared" si="0"/>
        <v>0.8</v>
      </c>
      <c r="D53" s="1">
        <f t="shared" si="1"/>
        <v>1.2</v>
      </c>
    </row>
    <row r="54" spans="1:4" x14ac:dyDescent="0.25">
      <c r="A54" s="1" t="s">
        <v>50</v>
      </c>
      <c r="B54" s="1">
        <v>1</v>
      </c>
      <c r="C54" s="1">
        <f t="shared" si="0"/>
        <v>0.8</v>
      </c>
      <c r="D54" s="1">
        <f t="shared" si="1"/>
        <v>1.2</v>
      </c>
    </row>
    <row r="55" spans="1:4" x14ac:dyDescent="0.25">
      <c r="A55" s="1" t="s">
        <v>89</v>
      </c>
      <c r="B55" s="1">
        <v>1</v>
      </c>
      <c r="C55" s="1">
        <f t="shared" si="0"/>
        <v>0.8</v>
      </c>
      <c r="D55" s="1">
        <f t="shared" si="1"/>
        <v>1.2</v>
      </c>
    </row>
    <row r="56" spans="1:4" x14ac:dyDescent="0.25">
      <c r="A56" s="1" t="s">
        <v>90</v>
      </c>
      <c r="B56" s="1">
        <v>9</v>
      </c>
      <c r="C56" s="1">
        <f t="shared" si="0"/>
        <v>7.2</v>
      </c>
      <c r="D56" s="1">
        <f t="shared" si="1"/>
        <v>10.799999999999999</v>
      </c>
    </row>
    <row r="57" spans="1:4" x14ac:dyDescent="0.25">
      <c r="A57" s="1" t="s">
        <v>91</v>
      </c>
      <c r="B57" s="1">
        <v>9</v>
      </c>
      <c r="C57" s="1">
        <f t="shared" si="0"/>
        <v>7.2</v>
      </c>
      <c r="D57" s="1">
        <f t="shared" si="1"/>
        <v>10.799999999999999</v>
      </c>
    </row>
    <row r="58" spans="1:4" x14ac:dyDescent="0.25">
      <c r="A58" s="1" t="s">
        <v>51</v>
      </c>
      <c r="B58" s="1">
        <v>0.5</v>
      </c>
      <c r="C58" s="1">
        <f t="shared" si="0"/>
        <v>0.4</v>
      </c>
      <c r="D58" s="1">
        <f t="shared" si="1"/>
        <v>0.6</v>
      </c>
    </row>
    <row r="59" spans="1:4" x14ac:dyDescent="0.25">
      <c r="A59" s="1" t="s">
        <v>52</v>
      </c>
      <c r="B59" s="1">
        <v>53</v>
      </c>
      <c r="C59" s="1">
        <f t="shared" si="0"/>
        <v>42.400000000000006</v>
      </c>
      <c r="D59" s="1">
        <f t="shared" si="1"/>
        <v>63.599999999999994</v>
      </c>
    </row>
    <row r="60" spans="1:4" x14ac:dyDescent="0.25">
      <c r="A60" s="1" t="s">
        <v>53</v>
      </c>
      <c r="B60" s="1">
        <v>53</v>
      </c>
      <c r="C60" s="1">
        <f t="shared" si="0"/>
        <v>42.400000000000006</v>
      </c>
      <c r="D60" s="1">
        <f t="shared" si="1"/>
        <v>63.599999999999994</v>
      </c>
    </row>
    <row r="61" spans="1:4" x14ac:dyDescent="0.25">
      <c r="A61" s="1" t="s">
        <v>54</v>
      </c>
      <c r="B61" s="1">
        <v>0.1</v>
      </c>
      <c r="C61" s="1">
        <f t="shared" si="0"/>
        <v>8.0000000000000016E-2</v>
      </c>
      <c r="D61" s="1">
        <f t="shared" si="1"/>
        <v>0.12</v>
      </c>
    </row>
    <row r="62" spans="1:4" x14ac:dyDescent="0.25">
      <c r="A62" s="1" t="s">
        <v>56</v>
      </c>
      <c r="B62" s="1">
        <v>3.145</v>
      </c>
      <c r="C62" s="1">
        <f t="shared" si="0"/>
        <v>2.516</v>
      </c>
      <c r="D62" s="1">
        <f t="shared" si="1"/>
        <v>3.774</v>
      </c>
    </row>
    <row r="63" spans="1:4" x14ac:dyDescent="0.25">
      <c r="A63" s="1" t="s">
        <v>92</v>
      </c>
      <c r="B63" s="1">
        <v>27</v>
      </c>
      <c r="C63" s="1">
        <f t="shared" si="0"/>
        <v>21.6</v>
      </c>
      <c r="D63" s="1">
        <f t="shared" si="1"/>
        <v>32.4</v>
      </c>
    </row>
    <row r="64" spans="1:4" x14ac:dyDescent="0.25">
      <c r="A64" s="1" t="s">
        <v>93</v>
      </c>
      <c r="B64" s="1">
        <v>35</v>
      </c>
      <c r="C64" s="1">
        <f t="shared" si="0"/>
        <v>28</v>
      </c>
      <c r="D64" s="1">
        <f t="shared" si="1"/>
        <v>42</v>
      </c>
    </row>
    <row r="65" spans="1:4" x14ac:dyDescent="0.25">
      <c r="A65" s="1" t="s">
        <v>58</v>
      </c>
      <c r="B65" s="1">
        <v>0.06</v>
      </c>
      <c r="C65" s="1">
        <f t="shared" si="0"/>
        <v>4.8000000000000001E-2</v>
      </c>
      <c r="D65" s="1">
        <f t="shared" si="1"/>
        <v>7.1999999999999995E-2</v>
      </c>
    </row>
    <row r="66" spans="1:4" x14ac:dyDescent="0.25">
      <c r="A66" s="1" t="s">
        <v>59</v>
      </c>
      <c r="B66" s="1">
        <v>1.6</v>
      </c>
      <c r="C66" s="1">
        <f t="shared" ref="C66:C86" si="2">0.8*B66</f>
        <v>1.2800000000000002</v>
      </c>
      <c r="D66" s="1">
        <f t="shared" ref="D66:D86" si="3">1.2*B66</f>
        <v>1.92</v>
      </c>
    </row>
    <row r="67" spans="1:4" x14ac:dyDescent="0.25">
      <c r="A67" s="1" t="s">
        <v>60</v>
      </c>
      <c r="B67" s="1">
        <v>0.30599999999999999</v>
      </c>
      <c r="C67" s="1">
        <f t="shared" si="2"/>
        <v>0.24480000000000002</v>
      </c>
      <c r="D67" s="1">
        <f t="shared" si="3"/>
        <v>0.36719999999999997</v>
      </c>
    </row>
    <row r="68" spans="1:4" x14ac:dyDescent="0.25">
      <c r="A68" s="1" t="s">
        <v>61</v>
      </c>
      <c r="B68" s="1">
        <v>0.315</v>
      </c>
      <c r="C68" s="1">
        <f t="shared" si="2"/>
        <v>0.252</v>
      </c>
      <c r="D68" s="1">
        <f t="shared" si="3"/>
        <v>0.378</v>
      </c>
    </row>
    <row r="69" spans="1:4" x14ac:dyDescent="0.25">
      <c r="A69" s="1" t="s">
        <v>62</v>
      </c>
      <c r="B69" s="1">
        <v>0.33800000000000002</v>
      </c>
      <c r="C69" s="1">
        <f t="shared" si="2"/>
        <v>0.27040000000000003</v>
      </c>
      <c r="D69" s="1">
        <f t="shared" si="3"/>
        <v>0.40560000000000002</v>
      </c>
    </row>
    <row r="70" spans="1:4" x14ac:dyDescent="0.25">
      <c r="A70" s="1" t="s">
        <v>63</v>
      </c>
      <c r="B70" s="1">
        <v>0.29099999999999998</v>
      </c>
      <c r="C70" s="1">
        <f t="shared" si="2"/>
        <v>0.23280000000000001</v>
      </c>
      <c r="D70" s="1">
        <f t="shared" si="3"/>
        <v>0.34919999999999995</v>
      </c>
    </row>
    <row r="71" spans="1:4" x14ac:dyDescent="0.25">
      <c r="A71" s="1" t="s">
        <v>64</v>
      </c>
      <c r="B71" s="1">
        <v>0.01</v>
      </c>
      <c r="C71" s="1">
        <f t="shared" si="2"/>
        <v>8.0000000000000002E-3</v>
      </c>
      <c r="D71" s="1">
        <f t="shared" si="3"/>
        <v>1.2E-2</v>
      </c>
    </row>
    <row r="72" spans="1:4" x14ac:dyDescent="0.25">
      <c r="A72" s="1" t="s">
        <v>65</v>
      </c>
      <c r="B72" s="1">
        <v>0.03</v>
      </c>
      <c r="C72" s="1">
        <f t="shared" si="2"/>
        <v>2.4E-2</v>
      </c>
      <c r="D72" s="1">
        <f t="shared" si="3"/>
        <v>3.5999999999999997E-2</v>
      </c>
    </row>
    <row r="73" spans="1:4" x14ac:dyDescent="0.25">
      <c r="A73" s="1" t="s">
        <v>66</v>
      </c>
      <c r="B73" s="1">
        <v>1.4999999999999999E-2</v>
      </c>
      <c r="C73" s="1">
        <f t="shared" si="2"/>
        <v>1.2E-2</v>
      </c>
      <c r="D73" s="1">
        <f t="shared" si="3"/>
        <v>1.7999999999999999E-2</v>
      </c>
    </row>
    <row r="74" spans="1:4" x14ac:dyDescent="0.25">
      <c r="A74" s="1" t="s">
        <v>67</v>
      </c>
      <c r="B74" s="1">
        <v>0.01</v>
      </c>
      <c r="C74" s="1">
        <f t="shared" si="2"/>
        <v>8.0000000000000002E-3</v>
      </c>
      <c r="D74" s="1">
        <f t="shared" si="3"/>
        <v>1.2E-2</v>
      </c>
    </row>
    <row r="75" spans="1:4" x14ac:dyDescent="0.25">
      <c r="A75" s="1" t="s">
        <v>68</v>
      </c>
      <c r="B75" s="1">
        <v>2.787E-3</v>
      </c>
      <c r="C75" s="1">
        <f t="shared" si="2"/>
        <v>2.2296E-3</v>
      </c>
      <c r="D75" s="1">
        <f t="shared" si="3"/>
        <v>3.3444E-3</v>
      </c>
    </row>
    <row r="76" spans="1:4" x14ac:dyDescent="0.25">
      <c r="A76" s="1" t="s">
        <v>69</v>
      </c>
      <c r="B76" s="1">
        <v>3</v>
      </c>
      <c r="C76" s="1">
        <f t="shared" si="2"/>
        <v>2.4000000000000004</v>
      </c>
      <c r="D76" s="1">
        <f t="shared" si="3"/>
        <v>3.5999999999999996</v>
      </c>
    </row>
    <row r="77" spans="1:4" x14ac:dyDescent="0.25">
      <c r="A77" s="1" t="s">
        <v>70</v>
      </c>
      <c r="B77" s="1">
        <v>0.08</v>
      </c>
      <c r="C77" s="1">
        <f t="shared" si="2"/>
        <v>6.4000000000000001E-2</v>
      </c>
      <c r="D77" s="1">
        <f t="shared" si="3"/>
        <v>9.6000000000000002E-2</v>
      </c>
    </row>
    <row r="78" spans="1:4" x14ac:dyDescent="0.25">
      <c r="A78" s="1" t="s">
        <v>71</v>
      </c>
      <c r="B78" s="1">
        <v>0.1</v>
      </c>
      <c r="C78" s="1">
        <f t="shared" si="2"/>
        <v>8.0000000000000016E-2</v>
      </c>
      <c r="D78" s="1">
        <f t="shared" si="3"/>
        <v>0.12</v>
      </c>
    </row>
    <row r="79" spans="1:4" x14ac:dyDescent="0.25">
      <c r="A79" s="1" t="s">
        <v>72</v>
      </c>
      <c r="B79" s="1">
        <v>38</v>
      </c>
      <c r="C79" s="1">
        <f t="shared" si="2"/>
        <v>30.400000000000002</v>
      </c>
      <c r="D79" s="1">
        <f t="shared" si="3"/>
        <v>45.6</v>
      </c>
    </row>
    <row r="80" spans="1:4" x14ac:dyDescent="0.25">
      <c r="A80" s="1" t="s">
        <v>73</v>
      </c>
      <c r="B80" s="1">
        <v>0.08</v>
      </c>
      <c r="C80" s="1">
        <f t="shared" si="2"/>
        <v>6.4000000000000001E-2</v>
      </c>
      <c r="D80" s="1">
        <f t="shared" si="3"/>
        <v>9.6000000000000002E-2</v>
      </c>
    </row>
    <row r="81" spans="1:4" x14ac:dyDescent="0.25">
      <c r="A81" s="1" t="s">
        <v>74</v>
      </c>
      <c r="B81" s="1">
        <v>44</v>
      </c>
      <c r="C81" s="1">
        <f t="shared" si="2"/>
        <v>35.200000000000003</v>
      </c>
      <c r="D81" s="1">
        <f t="shared" si="3"/>
        <v>52.8</v>
      </c>
    </row>
    <row r="82" spans="1:4" x14ac:dyDescent="0.25">
      <c r="A82" s="1" t="s">
        <v>75</v>
      </c>
      <c r="B82" s="1">
        <v>6</v>
      </c>
      <c r="C82" s="1">
        <f t="shared" si="2"/>
        <v>4.8000000000000007</v>
      </c>
      <c r="D82" s="1">
        <f t="shared" si="3"/>
        <v>7.1999999999999993</v>
      </c>
    </row>
    <row r="83" spans="1:4" x14ac:dyDescent="0.25">
      <c r="A83" s="1" t="s">
        <v>76</v>
      </c>
      <c r="B83" s="1">
        <v>0.23</v>
      </c>
      <c r="C83" s="1">
        <f t="shared" si="2"/>
        <v>0.18400000000000002</v>
      </c>
      <c r="D83" s="1">
        <f t="shared" si="3"/>
        <v>0.27600000000000002</v>
      </c>
    </row>
    <row r="84" spans="1:4" x14ac:dyDescent="0.25">
      <c r="A84" s="1" t="s">
        <v>77</v>
      </c>
      <c r="B84" s="1">
        <v>1.44</v>
      </c>
      <c r="C84" s="1">
        <f t="shared" si="2"/>
        <v>1.1519999999999999</v>
      </c>
      <c r="D84" s="1">
        <f t="shared" si="3"/>
        <v>1.728</v>
      </c>
    </row>
    <row r="85" spans="1:4" x14ac:dyDescent="0.25">
      <c r="A85" s="1" t="s">
        <v>78</v>
      </c>
      <c r="B85" s="1">
        <v>2.5</v>
      </c>
      <c r="C85" s="1">
        <f t="shared" si="2"/>
        <v>2</v>
      </c>
      <c r="D85" s="1">
        <f t="shared" si="3"/>
        <v>3</v>
      </c>
    </row>
    <row r="86" spans="1:4" x14ac:dyDescent="0.25">
      <c r="A86" s="1" t="s">
        <v>79</v>
      </c>
      <c r="B86" s="1">
        <v>40</v>
      </c>
      <c r="C86" s="1">
        <f t="shared" si="2"/>
        <v>32</v>
      </c>
      <c r="D86" s="1">
        <f t="shared" si="3"/>
        <v>48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6"/>
  <sheetViews>
    <sheetView workbookViewId="0">
      <selection activeCell="K23" sqref="K23"/>
    </sheetView>
  </sheetViews>
  <sheetFormatPr defaultRowHeight="15" x14ac:dyDescent="0.25"/>
  <cols>
    <col min="1" max="1" width="36.5703125" style="11" customWidth="1"/>
    <col min="2" max="2" width="12.28515625" style="7" bestFit="1" customWidth="1"/>
    <col min="3" max="3" width="11.28515625" style="7" bestFit="1" customWidth="1"/>
    <col min="4" max="4" width="12.42578125" style="7" bestFit="1" customWidth="1"/>
    <col min="5" max="16384" width="9.140625" style="7"/>
  </cols>
  <sheetData>
    <row r="1" spans="1:4" ht="15.75" x14ac:dyDescent="0.25">
      <c r="A1" s="5" t="s">
        <v>0</v>
      </c>
      <c r="B1" s="6" t="s">
        <v>1</v>
      </c>
      <c r="C1" s="6" t="s">
        <v>2</v>
      </c>
      <c r="D1" s="6" t="s">
        <v>3</v>
      </c>
    </row>
    <row r="2" spans="1:4" ht="15.75" x14ac:dyDescent="0.25">
      <c r="A2" s="8" t="s">
        <v>4</v>
      </c>
      <c r="B2" s="6">
        <v>31</v>
      </c>
      <c r="C2" s="6">
        <f xml:space="preserve"> 0.8*B2</f>
        <v>24.8</v>
      </c>
      <c r="D2" s="6">
        <f>1.2*B2</f>
        <v>37.199999999999996</v>
      </c>
    </row>
    <row r="3" spans="1:4" ht="15.75" x14ac:dyDescent="0.25">
      <c r="A3" s="8" t="s">
        <v>5</v>
      </c>
      <c r="B3" s="6">
        <v>9</v>
      </c>
      <c r="C3" s="6">
        <f t="shared" ref="C3:C67" si="0" xml:space="preserve"> 0.8*B3</f>
        <v>7.2</v>
      </c>
      <c r="D3" s="6">
        <f t="shared" ref="D3:D67" si="1">1.2*B3</f>
        <v>10.799999999999999</v>
      </c>
    </row>
    <row r="4" spans="1:4" ht="15.75" x14ac:dyDescent="0.25">
      <c r="A4" s="8" t="s">
        <v>6</v>
      </c>
      <c r="B4" s="6">
        <v>0.35</v>
      </c>
      <c r="C4" s="6">
        <f t="shared" si="0"/>
        <v>0.27999999999999997</v>
      </c>
      <c r="D4" s="6">
        <f t="shared" si="1"/>
        <v>0.42</v>
      </c>
    </row>
    <row r="5" spans="1:4" ht="15.75" x14ac:dyDescent="0.25">
      <c r="A5" s="8" t="s">
        <v>7</v>
      </c>
      <c r="B5" s="6">
        <v>1.1000000000000001</v>
      </c>
      <c r="C5" s="6">
        <f t="shared" si="0"/>
        <v>0.88000000000000012</v>
      </c>
      <c r="D5" s="6">
        <f t="shared" si="1"/>
        <v>1.32</v>
      </c>
    </row>
    <row r="6" spans="1:4" ht="15.75" x14ac:dyDescent="0.25">
      <c r="A6" s="8" t="s">
        <v>8</v>
      </c>
      <c r="B6" s="6">
        <v>0.2</v>
      </c>
      <c r="C6" s="6">
        <f t="shared" si="0"/>
        <v>0.16000000000000003</v>
      </c>
      <c r="D6" s="6">
        <f t="shared" si="1"/>
        <v>0.24</v>
      </c>
    </row>
    <row r="7" spans="1:4" ht="15.75" x14ac:dyDescent="0.25">
      <c r="A7" s="8" t="s">
        <v>9</v>
      </c>
      <c r="B7" s="6">
        <v>0.2</v>
      </c>
      <c r="C7" s="6">
        <f t="shared" si="0"/>
        <v>0.16000000000000003</v>
      </c>
      <c r="D7" s="6">
        <f t="shared" si="1"/>
        <v>0.24</v>
      </c>
    </row>
    <row r="8" spans="1:4" ht="15.75" x14ac:dyDescent="0.25">
      <c r="A8" s="8" t="s">
        <v>10</v>
      </c>
      <c r="B8" s="6">
        <v>0.8</v>
      </c>
      <c r="C8" s="6">
        <f t="shared" si="0"/>
        <v>0.64000000000000012</v>
      </c>
      <c r="D8" s="6">
        <f t="shared" si="1"/>
        <v>0.96</v>
      </c>
    </row>
    <row r="9" spans="1:4" ht="15.75" x14ac:dyDescent="0.25">
      <c r="A9" s="8" t="s">
        <v>11</v>
      </c>
      <c r="B9" s="6">
        <v>0.7</v>
      </c>
      <c r="C9" s="6">
        <f t="shared" si="0"/>
        <v>0.55999999999999994</v>
      </c>
      <c r="D9" s="6">
        <f t="shared" si="1"/>
        <v>0.84</v>
      </c>
    </row>
    <row r="10" spans="1:4" ht="15.75" x14ac:dyDescent="0.25">
      <c r="A10" s="8" t="s">
        <v>12</v>
      </c>
      <c r="B10" s="6">
        <v>0.7</v>
      </c>
      <c r="C10" s="6">
        <f t="shared" si="0"/>
        <v>0.55999999999999994</v>
      </c>
      <c r="D10" s="6">
        <f t="shared" si="1"/>
        <v>0.84</v>
      </c>
    </row>
    <row r="11" spans="1:4" ht="15.75" x14ac:dyDescent="0.25">
      <c r="A11" s="8" t="s">
        <v>13</v>
      </c>
      <c r="B11" s="6">
        <v>0.7</v>
      </c>
      <c r="C11" s="6">
        <f t="shared" si="0"/>
        <v>0.55999999999999994</v>
      </c>
      <c r="D11" s="6">
        <f t="shared" si="1"/>
        <v>0.84</v>
      </c>
    </row>
    <row r="12" spans="1:4" ht="15.75" x14ac:dyDescent="0.25">
      <c r="A12" s="8" t="s">
        <v>14</v>
      </c>
      <c r="B12" s="6">
        <v>900</v>
      </c>
      <c r="C12" s="6">
        <f t="shared" si="0"/>
        <v>720</v>
      </c>
      <c r="D12" s="6">
        <f t="shared" si="1"/>
        <v>1080</v>
      </c>
    </row>
    <row r="13" spans="1:4" ht="15.75" x14ac:dyDescent="0.25">
      <c r="A13" s="8" t="s">
        <v>15</v>
      </c>
      <c r="B13" s="6">
        <v>113</v>
      </c>
      <c r="C13" s="6">
        <f t="shared" si="0"/>
        <v>90.4</v>
      </c>
      <c r="D13" s="6">
        <f t="shared" si="1"/>
        <v>135.6</v>
      </c>
    </row>
    <row r="14" spans="1:4" ht="15.75" x14ac:dyDescent="0.25">
      <c r="A14" s="8" t="s">
        <v>16</v>
      </c>
      <c r="B14" s="6">
        <v>33</v>
      </c>
      <c r="C14" s="6">
        <f t="shared" si="0"/>
        <v>26.400000000000002</v>
      </c>
      <c r="D14" s="6">
        <f t="shared" si="1"/>
        <v>39.6</v>
      </c>
    </row>
    <row r="15" spans="1:4" ht="15.75" x14ac:dyDescent="0.25">
      <c r="A15" s="8" t="s">
        <v>17</v>
      </c>
      <c r="B15" s="6">
        <v>0.5</v>
      </c>
      <c r="C15" s="6">
        <f t="shared" si="0"/>
        <v>0.4</v>
      </c>
      <c r="D15" s="6">
        <f t="shared" si="1"/>
        <v>0.6</v>
      </c>
    </row>
    <row r="16" spans="1:4" ht="15.75" x14ac:dyDescent="0.25">
      <c r="A16" s="8" t="s">
        <v>18</v>
      </c>
      <c r="B16" s="6">
        <v>30</v>
      </c>
      <c r="C16" s="6">
        <f t="shared" si="0"/>
        <v>24</v>
      </c>
      <c r="D16" s="6">
        <f t="shared" si="1"/>
        <v>36</v>
      </c>
    </row>
    <row r="17" spans="1:4" ht="15.75" x14ac:dyDescent="0.25">
      <c r="A17" s="8" t="s">
        <v>19</v>
      </c>
      <c r="B17" s="6">
        <v>30</v>
      </c>
      <c r="C17" s="6">
        <f t="shared" si="0"/>
        <v>24</v>
      </c>
      <c r="D17" s="6">
        <f t="shared" si="1"/>
        <v>36</v>
      </c>
    </row>
    <row r="18" spans="1:4" ht="15.75" x14ac:dyDescent="0.25">
      <c r="A18" s="8" t="s">
        <v>20</v>
      </c>
      <c r="B18" s="6">
        <v>30</v>
      </c>
      <c r="C18" s="6">
        <f t="shared" si="0"/>
        <v>24</v>
      </c>
      <c r="D18" s="6">
        <f t="shared" si="1"/>
        <v>36</v>
      </c>
    </row>
    <row r="19" spans="1:4" ht="15.75" x14ac:dyDescent="0.25">
      <c r="A19" s="8" t="s">
        <v>21</v>
      </c>
      <c r="B19" s="6">
        <v>30</v>
      </c>
      <c r="C19" s="6">
        <f t="shared" si="0"/>
        <v>24</v>
      </c>
      <c r="D19" s="6">
        <f t="shared" si="1"/>
        <v>36</v>
      </c>
    </row>
    <row r="20" spans="1:4" ht="15.75" x14ac:dyDescent="0.25">
      <c r="A20" s="8" t="s">
        <v>22</v>
      </c>
      <c r="B20" s="6">
        <v>30</v>
      </c>
      <c r="C20" s="6">
        <f t="shared" si="0"/>
        <v>24</v>
      </c>
      <c r="D20" s="6">
        <f t="shared" si="1"/>
        <v>36</v>
      </c>
    </row>
    <row r="21" spans="1:4" ht="15.75" x14ac:dyDescent="0.25">
      <c r="A21" s="8" t="s">
        <v>23</v>
      </c>
      <c r="B21" s="6">
        <v>30</v>
      </c>
      <c r="C21" s="6">
        <f t="shared" si="0"/>
        <v>24</v>
      </c>
      <c r="D21" s="6">
        <f t="shared" si="1"/>
        <v>36</v>
      </c>
    </row>
    <row r="22" spans="1:4" ht="15.75" x14ac:dyDescent="0.25">
      <c r="A22" s="8" t="s">
        <v>24</v>
      </c>
      <c r="B22" s="6">
        <v>0.08</v>
      </c>
      <c r="C22" s="6">
        <f t="shared" si="0"/>
        <v>6.4000000000000001E-2</v>
      </c>
      <c r="D22" s="6">
        <f t="shared" si="1"/>
        <v>9.6000000000000002E-2</v>
      </c>
    </row>
    <row r="23" spans="1:4" ht="15.75" x14ac:dyDescent="0.25">
      <c r="A23" s="8" t="s">
        <v>25</v>
      </c>
      <c r="B23" s="6">
        <v>0.08</v>
      </c>
      <c r="C23" s="6">
        <f t="shared" si="0"/>
        <v>6.4000000000000001E-2</v>
      </c>
      <c r="D23" s="6">
        <f t="shared" si="1"/>
        <v>9.6000000000000002E-2</v>
      </c>
    </row>
    <row r="24" spans="1:4" ht="15.75" x14ac:dyDescent="0.25">
      <c r="A24" s="9" t="s">
        <v>27</v>
      </c>
      <c r="B24" s="5">
        <v>0.03</v>
      </c>
      <c r="C24" s="6">
        <f t="shared" si="0"/>
        <v>2.4E-2</v>
      </c>
      <c r="D24" s="6">
        <f t="shared" si="1"/>
        <v>3.5999999999999997E-2</v>
      </c>
    </row>
    <row r="25" spans="1:4" ht="15.75" x14ac:dyDescent="0.25">
      <c r="A25" s="9" t="s">
        <v>28</v>
      </c>
      <c r="B25" s="5">
        <v>0.03</v>
      </c>
      <c r="C25" s="6">
        <f t="shared" si="0"/>
        <v>2.4E-2</v>
      </c>
      <c r="D25" s="6">
        <f t="shared" si="1"/>
        <v>3.5999999999999997E-2</v>
      </c>
    </row>
    <row r="26" spans="1:4" ht="15.75" x14ac:dyDescent="0.25">
      <c r="A26" s="8" t="s">
        <v>29</v>
      </c>
      <c r="B26" s="5">
        <v>1.9</v>
      </c>
      <c r="C26" s="6">
        <f t="shared" si="0"/>
        <v>1.52</v>
      </c>
      <c r="D26" s="6">
        <f t="shared" si="1"/>
        <v>2.2799999999999998</v>
      </c>
    </row>
    <row r="27" spans="1:4" ht="15.75" x14ac:dyDescent="0.25">
      <c r="A27" s="8" t="s">
        <v>87</v>
      </c>
      <c r="B27" s="6">
        <v>0.54</v>
      </c>
      <c r="C27" s="6">
        <f t="shared" si="0"/>
        <v>0.43200000000000005</v>
      </c>
      <c r="D27" s="6">
        <f t="shared" si="1"/>
        <v>0.64800000000000002</v>
      </c>
    </row>
    <row r="28" spans="1:4" ht="15.75" x14ac:dyDescent="0.25">
      <c r="A28" s="8" t="s">
        <v>30</v>
      </c>
      <c r="B28" s="6">
        <v>3.0000000000000001E-3</v>
      </c>
      <c r="C28" s="6">
        <f t="shared" si="0"/>
        <v>2.4000000000000002E-3</v>
      </c>
      <c r="D28" s="6">
        <f t="shared" si="1"/>
        <v>3.5999999999999999E-3</v>
      </c>
    </row>
    <row r="29" spans="1:4" ht="15.75" x14ac:dyDescent="0.25">
      <c r="A29" s="8" t="s">
        <v>31</v>
      </c>
      <c r="B29" s="6">
        <v>2E-3</v>
      </c>
      <c r="C29" s="6">
        <f t="shared" si="0"/>
        <v>1.6000000000000001E-3</v>
      </c>
      <c r="D29" s="6">
        <f t="shared" si="1"/>
        <v>2.3999999999999998E-3</v>
      </c>
    </row>
    <row r="30" spans="1:4" ht="15.75" x14ac:dyDescent="0.25">
      <c r="A30" s="8" t="s">
        <v>32</v>
      </c>
      <c r="B30" s="6">
        <v>1.5E-3</v>
      </c>
      <c r="C30" s="6">
        <f t="shared" si="0"/>
        <v>1.2000000000000001E-3</v>
      </c>
      <c r="D30" s="6">
        <f t="shared" si="1"/>
        <v>1.8E-3</v>
      </c>
    </row>
    <row r="31" spans="1:4" ht="15.75" x14ac:dyDescent="0.25">
      <c r="A31" s="8" t="s">
        <v>33</v>
      </c>
      <c r="B31" s="6">
        <v>1.1999999999999999E-3</v>
      </c>
      <c r="C31" s="6">
        <f t="shared" si="0"/>
        <v>9.5999999999999992E-4</v>
      </c>
      <c r="D31" s="6">
        <f t="shared" si="1"/>
        <v>1.4399999999999999E-3</v>
      </c>
    </row>
    <row r="32" spans="1:4" ht="15.75" x14ac:dyDescent="0.25">
      <c r="A32" s="8" t="s">
        <v>34</v>
      </c>
      <c r="B32" s="6">
        <v>1.1999999999999999E-3</v>
      </c>
      <c r="C32" s="6">
        <f t="shared" si="0"/>
        <v>9.5999999999999992E-4</v>
      </c>
      <c r="D32" s="6">
        <f t="shared" si="1"/>
        <v>1.4399999999999999E-3</v>
      </c>
    </row>
    <row r="33" spans="1:4" ht="15.75" x14ac:dyDescent="0.25">
      <c r="A33" s="8" t="s">
        <v>35</v>
      </c>
      <c r="B33" s="6">
        <v>1.1999999999999999E-3</v>
      </c>
      <c r="C33" s="6">
        <f t="shared" si="0"/>
        <v>9.5999999999999992E-4</v>
      </c>
      <c r="D33" s="6">
        <f t="shared" si="1"/>
        <v>1.4399999999999999E-3</v>
      </c>
    </row>
    <row r="34" spans="1:4" ht="15.75" x14ac:dyDescent="0.25">
      <c r="A34" s="8" t="s">
        <v>36</v>
      </c>
      <c r="B34" s="6">
        <v>0.4</v>
      </c>
      <c r="C34" s="6">
        <f t="shared" si="0"/>
        <v>0.32000000000000006</v>
      </c>
      <c r="D34" s="6">
        <f t="shared" si="1"/>
        <v>0.48</v>
      </c>
    </row>
    <row r="35" spans="1:4" ht="15.75" x14ac:dyDescent="0.25">
      <c r="A35" s="8" t="s">
        <v>37</v>
      </c>
      <c r="B35" s="6">
        <v>0.6</v>
      </c>
      <c r="C35" s="6">
        <f t="shared" si="0"/>
        <v>0.48</v>
      </c>
      <c r="D35" s="6">
        <f t="shared" si="1"/>
        <v>0.72</v>
      </c>
    </row>
    <row r="36" spans="1:4" ht="15.75" x14ac:dyDescent="0.25">
      <c r="A36" s="8" t="s">
        <v>38</v>
      </c>
      <c r="B36" s="6">
        <v>1</v>
      </c>
      <c r="C36" s="6">
        <f t="shared" si="0"/>
        <v>0.8</v>
      </c>
      <c r="D36" s="6">
        <f t="shared" si="1"/>
        <v>1.2</v>
      </c>
    </row>
    <row r="37" spans="1:4" ht="15.75" x14ac:dyDescent="0.25">
      <c r="A37" s="8" t="s">
        <v>39</v>
      </c>
      <c r="B37" s="6">
        <v>1.1000000000000001</v>
      </c>
      <c r="C37" s="6">
        <f t="shared" si="0"/>
        <v>0.88000000000000012</v>
      </c>
      <c r="D37" s="6">
        <f t="shared" si="1"/>
        <v>1.32</v>
      </c>
    </row>
    <row r="38" spans="1:4" ht="15.75" x14ac:dyDescent="0.25">
      <c r="A38" s="8" t="s">
        <v>40</v>
      </c>
      <c r="B38" s="6">
        <v>0.85</v>
      </c>
      <c r="C38" s="6">
        <f t="shared" si="0"/>
        <v>0.68</v>
      </c>
      <c r="D38" s="6">
        <f t="shared" si="1"/>
        <v>1.02</v>
      </c>
    </row>
    <row r="39" spans="1:4" ht="15.75" x14ac:dyDescent="0.25">
      <c r="A39" s="8" t="s">
        <v>41</v>
      </c>
      <c r="B39" s="6">
        <v>0.4</v>
      </c>
      <c r="C39" s="6">
        <f t="shared" si="0"/>
        <v>0.32000000000000006</v>
      </c>
      <c r="D39" s="6">
        <f t="shared" si="1"/>
        <v>0.48</v>
      </c>
    </row>
    <row r="40" spans="1:4" ht="15.75" x14ac:dyDescent="0.25">
      <c r="A40" s="8" t="s">
        <v>42</v>
      </c>
      <c r="B40" s="6">
        <v>148</v>
      </c>
      <c r="C40" s="6">
        <f t="shared" si="0"/>
        <v>118.4</v>
      </c>
      <c r="D40" s="6">
        <f t="shared" si="1"/>
        <v>177.6</v>
      </c>
    </row>
    <row r="41" spans="1:4" ht="15.75" x14ac:dyDescent="0.25">
      <c r="A41" s="8" t="s">
        <v>43</v>
      </c>
      <c r="B41" s="6">
        <v>300</v>
      </c>
      <c r="C41" s="6">
        <f t="shared" si="0"/>
        <v>240</v>
      </c>
      <c r="D41" s="6">
        <f t="shared" si="1"/>
        <v>360</v>
      </c>
    </row>
    <row r="42" spans="1:4" ht="15.75" x14ac:dyDescent="0.25">
      <c r="A42" s="8" t="s">
        <v>44</v>
      </c>
      <c r="B42" s="6">
        <v>300</v>
      </c>
      <c r="C42" s="6">
        <f t="shared" si="0"/>
        <v>240</v>
      </c>
      <c r="D42" s="6">
        <f t="shared" si="1"/>
        <v>360</v>
      </c>
    </row>
    <row r="43" spans="1:4" ht="15.75" x14ac:dyDescent="0.25">
      <c r="A43" s="8" t="s">
        <v>45</v>
      </c>
      <c r="B43" s="6">
        <v>280</v>
      </c>
      <c r="C43" s="6">
        <f t="shared" si="0"/>
        <v>224</v>
      </c>
      <c r="D43" s="6">
        <f t="shared" si="1"/>
        <v>336</v>
      </c>
    </row>
    <row r="44" spans="1:4" ht="15.75" x14ac:dyDescent="0.25">
      <c r="A44" s="8" t="s">
        <v>46</v>
      </c>
      <c r="B44" s="6">
        <v>800</v>
      </c>
      <c r="C44" s="6">
        <f t="shared" si="0"/>
        <v>640</v>
      </c>
      <c r="D44" s="6">
        <f t="shared" si="1"/>
        <v>960</v>
      </c>
    </row>
    <row r="45" spans="1:4" ht="15.75" x14ac:dyDescent="0.25">
      <c r="A45" s="8" t="s">
        <v>47</v>
      </c>
      <c r="B45" s="6">
        <v>25</v>
      </c>
      <c r="C45" s="6">
        <f t="shared" si="0"/>
        <v>20</v>
      </c>
      <c r="D45" s="6">
        <f t="shared" si="1"/>
        <v>30</v>
      </c>
    </row>
    <row r="46" spans="1:4" ht="15.75" x14ac:dyDescent="0.25">
      <c r="A46" s="8" t="s">
        <v>48</v>
      </c>
      <c r="B46" s="6">
        <v>0.3</v>
      </c>
      <c r="C46" s="6">
        <f t="shared" si="0"/>
        <v>0.24</v>
      </c>
      <c r="D46" s="6">
        <f t="shared" si="1"/>
        <v>0.36</v>
      </c>
    </row>
    <row r="47" spans="1:4" ht="15.75" x14ac:dyDescent="0.25">
      <c r="A47" s="8" t="s">
        <v>94</v>
      </c>
      <c r="B47" s="6">
        <v>3</v>
      </c>
      <c r="C47" s="6">
        <f t="shared" si="0"/>
        <v>2.4000000000000004</v>
      </c>
      <c r="D47" s="6">
        <f t="shared" si="1"/>
        <v>3.5999999999999996</v>
      </c>
    </row>
    <row r="48" spans="1:4" ht="15.75" x14ac:dyDescent="0.25">
      <c r="A48" s="8" t="s">
        <v>49</v>
      </c>
      <c r="B48" s="6">
        <v>3</v>
      </c>
      <c r="C48" s="6">
        <f t="shared" si="0"/>
        <v>2.4000000000000004</v>
      </c>
      <c r="D48" s="6">
        <f t="shared" si="1"/>
        <v>3.5999999999999996</v>
      </c>
    </row>
    <row r="49" spans="1:4" ht="15.75" x14ac:dyDescent="0.25">
      <c r="A49" s="8" t="s">
        <v>50</v>
      </c>
      <c r="B49" s="6">
        <v>3</v>
      </c>
      <c r="C49" s="6">
        <f t="shared" si="0"/>
        <v>2.4000000000000004</v>
      </c>
      <c r="D49" s="6">
        <f t="shared" si="1"/>
        <v>3.5999999999999996</v>
      </c>
    </row>
    <row r="50" spans="1:4" ht="15.75" x14ac:dyDescent="0.25">
      <c r="A50" s="8" t="s">
        <v>89</v>
      </c>
      <c r="B50" s="6">
        <v>3</v>
      </c>
      <c r="C50" s="6">
        <f t="shared" si="0"/>
        <v>2.4000000000000004</v>
      </c>
      <c r="D50" s="6">
        <f t="shared" si="1"/>
        <v>3.5999999999999996</v>
      </c>
    </row>
    <row r="51" spans="1:4" ht="15.75" x14ac:dyDescent="0.25">
      <c r="A51" s="8" t="s">
        <v>90</v>
      </c>
      <c r="B51" s="6">
        <v>3</v>
      </c>
      <c r="C51" s="6">
        <f t="shared" si="0"/>
        <v>2.4000000000000004</v>
      </c>
      <c r="D51" s="6">
        <f t="shared" si="1"/>
        <v>3.5999999999999996</v>
      </c>
    </row>
    <row r="52" spans="1:4" ht="15.75" x14ac:dyDescent="0.25">
      <c r="A52" s="8" t="s">
        <v>91</v>
      </c>
      <c r="B52" s="6">
        <v>3</v>
      </c>
      <c r="C52" s="6">
        <f t="shared" si="0"/>
        <v>2.4000000000000004</v>
      </c>
      <c r="D52" s="6">
        <f t="shared" si="1"/>
        <v>3.5999999999999996</v>
      </c>
    </row>
    <row r="53" spans="1:4" ht="15.75" x14ac:dyDescent="0.25">
      <c r="A53" s="8" t="s">
        <v>51</v>
      </c>
      <c r="B53" s="6">
        <v>0.5</v>
      </c>
      <c r="C53" s="6">
        <f t="shared" si="0"/>
        <v>0.4</v>
      </c>
      <c r="D53" s="6">
        <f t="shared" si="1"/>
        <v>0.6</v>
      </c>
    </row>
    <row r="54" spans="1:4" ht="15.75" x14ac:dyDescent="0.25">
      <c r="A54" s="8" t="s">
        <v>52</v>
      </c>
      <c r="B54" s="6">
        <v>5</v>
      </c>
      <c r="C54" s="6">
        <f t="shared" si="0"/>
        <v>4</v>
      </c>
      <c r="D54" s="6">
        <f t="shared" si="1"/>
        <v>6</v>
      </c>
    </row>
    <row r="55" spans="1:4" ht="15.75" x14ac:dyDescent="0.25">
      <c r="A55" s="8" t="s">
        <v>53</v>
      </c>
      <c r="B55" s="6">
        <v>10</v>
      </c>
      <c r="C55" s="6">
        <f t="shared" si="0"/>
        <v>8</v>
      </c>
      <c r="D55" s="6">
        <f t="shared" si="1"/>
        <v>12</v>
      </c>
    </row>
    <row r="56" spans="1:4" ht="15.75" x14ac:dyDescent="0.25">
      <c r="A56" s="8" t="s">
        <v>54</v>
      </c>
      <c r="B56" s="6">
        <v>0.1</v>
      </c>
      <c r="C56" s="6">
        <f t="shared" si="0"/>
        <v>8.0000000000000016E-2</v>
      </c>
      <c r="D56" s="6">
        <f t="shared" si="1"/>
        <v>0.12</v>
      </c>
    </row>
    <row r="57" spans="1:4" ht="15.75" x14ac:dyDescent="0.25">
      <c r="A57" s="8" t="s">
        <v>56</v>
      </c>
      <c r="B57" s="6">
        <v>5.6449999999999996</v>
      </c>
      <c r="C57" s="6">
        <f t="shared" si="0"/>
        <v>4.516</v>
      </c>
      <c r="D57" s="6">
        <f t="shared" si="1"/>
        <v>6.7739999999999991</v>
      </c>
    </row>
    <row r="58" spans="1:4" ht="15.75" x14ac:dyDescent="0.25">
      <c r="A58" s="9" t="s">
        <v>57</v>
      </c>
      <c r="B58" s="6">
        <v>3</v>
      </c>
      <c r="C58" s="6">
        <f t="shared" si="0"/>
        <v>2.4000000000000004</v>
      </c>
      <c r="D58" s="6">
        <f t="shared" si="1"/>
        <v>3.5999999999999996</v>
      </c>
    </row>
    <row r="59" spans="1:4" ht="15.75" x14ac:dyDescent="0.25">
      <c r="A59" s="9" t="s">
        <v>58</v>
      </c>
      <c r="B59" s="6">
        <v>0.06</v>
      </c>
      <c r="C59" s="6">
        <f t="shared" si="0"/>
        <v>4.8000000000000001E-2</v>
      </c>
      <c r="D59" s="6">
        <f t="shared" si="1"/>
        <v>7.1999999999999995E-2</v>
      </c>
    </row>
    <row r="60" spans="1:4" ht="15.75" x14ac:dyDescent="0.25">
      <c r="A60" s="8" t="s">
        <v>59</v>
      </c>
      <c r="B60" s="6">
        <v>1.35</v>
      </c>
      <c r="C60" s="6">
        <f t="shared" si="0"/>
        <v>1.08</v>
      </c>
      <c r="D60" s="6">
        <f t="shared" si="1"/>
        <v>1.62</v>
      </c>
    </row>
    <row r="61" spans="1:4" ht="15.75" x14ac:dyDescent="0.25">
      <c r="A61" s="8" t="s">
        <v>60</v>
      </c>
      <c r="B61" s="6">
        <v>0.01</v>
      </c>
      <c r="C61" s="6">
        <f t="shared" si="0"/>
        <v>8.0000000000000002E-3</v>
      </c>
      <c r="D61" s="6">
        <f t="shared" si="1"/>
        <v>1.2E-2</v>
      </c>
    </row>
    <row r="62" spans="1:4" ht="15.75" x14ac:dyDescent="0.25">
      <c r="A62" s="8" t="s">
        <v>61</v>
      </c>
      <c r="B62" s="6">
        <v>0.03</v>
      </c>
      <c r="C62" s="6">
        <f t="shared" si="0"/>
        <v>2.4E-2</v>
      </c>
      <c r="D62" s="6">
        <f t="shared" si="1"/>
        <v>3.5999999999999997E-2</v>
      </c>
    </row>
    <row r="63" spans="1:4" ht="15.75" x14ac:dyDescent="0.25">
      <c r="A63" s="8" t="s">
        <v>62</v>
      </c>
      <c r="B63" s="6">
        <v>3.0000000000000001E-3</v>
      </c>
      <c r="C63" s="6">
        <f t="shared" si="0"/>
        <v>2.4000000000000002E-3</v>
      </c>
      <c r="D63" s="6">
        <f t="shared" si="1"/>
        <v>3.5999999999999999E-3</v>
      </c>
    </row>
    <row r="64" spans="1:4" ht="15.75" x14ac:dyDescent="0.25">
      <c r="A64" s="8" t="s">
        <v>63</v>
      </c>
      <c r="B64" s="6">
        <v>0.01</v>
      </c>
      <c r="C64" s="6">
        <f t="shared" si="0"/>
        <v>8.0000000000000002E-3</v>
      </c>
      <c r="D64" s="6">
        <f t="shared" si="1"/>
        <v>1.2E-2</v>
      </c>
    </row>
    <row r="65" spans="1:4" ht="15.75" x14ac:dyDescent="0.25">
      <c r="A65" s="8" t="s">
        <v>64</v>
      </c>
      <c r="B65" s="6">
        <v>1.4999999999999999E-2</v>
      </c>
      <c r="C65" s="6">
        <f t="shared" si="0"/>
        <v>1.2E-2</v>
      </c>
      <c r="D65" s="6">
        <f t="shared" si="1"/>
        <v>1.7999999999999999E-2</v>
      </c>
    </row>
    <row r="66" spans="1:4" ht="15.75" x14ac:dyDescent="0.25">
      <c r="A66" s="8" t="s">
        <v>65</v>
      </c>
      <c r="B66" s="6">
        <v>0.03</v>
      </c>
      <c r="C66" s="6">
        <f t="shared" si="0"/>
        <v>2.4E-2</v>
      </c>
      <c r="D66" s="6">
        <f t="shared" si="1"/>
        <v>3.5999999999999997E-2</v>
      </c>
    </row>
    <row r="67" spans="1:4" ht="15.75" x14ac:dyDescent="0.25">
      <c r="A67" s="8" t="s">
        <v>66</v>
      </c>
      <c r="B67" s="6">
        <v>3.0000000000000001E-3</v>
      </c>
      <c r="C67" s="6">
        <f t="shared" si="0"/>
        <v>2.4000000000000002E-3</v>
      </c>
      <c r="D67" s="6">
        <f t="shared" si="1"/>
        <v>3.5999999999999999E-3</v>
      </c>
    </row>
    <row r="68" spans="1:4" ht="15.75" x14ac:dyDescent="0.25">
      <c r="A68" s="8" t="s">
        <v>67</v>
      </c>
      <c r="B68" s="6">
        <v>0.01</v>
      </c>
      <c r="C68" s="6">
        <f t="shared" ref="C68:C80" si="2" xml:space="preserve"> 0.8*B68</f>
        <v>8.0000000000000002E-3</v>
      </c>
      <c r="D68" s="6">
        <f t="shared" ref="D68:D80" si="3">1.2*B68</f>
        <v>1.2E-2</v>
      </c>
    </row>
    <row r="69" spans="1:4" ht="15.75" x14ac:dyDescent="0.25">
      <c r="A69" s="8" t="s">
        <v>68</v>
      </c>
      <c r="B69" s="6">
        <v>3.5000000000000001E-3</v>
      </c>
      <c r="C69" s="6">
        <f t="shared" si="2"/>
        <v>2.8000000000000004E-3</v>
      </c>
      <c r="D69" s="6">
        <f t="shared" si="3"/>
        <v>4.1999999999999997E-3</v>
      </c>
    </row>
    <row r="70" spans="1:4" ht="15.75" x14ac:dyDescent="0.25">
      <c r="A70" s="8" t="s">
        <v>69</v>
      </c>
      <c r="B70" s="6">
        <v>3</v>
      </c>
      <c r="C70" s="6">
        <f t="shared" si="2"/>
        <v>2.4000000000000004</v>
      </c>
      <c r="D70" s="6">
        <f t="shared" si="3"/>
        <v>3.5999999999999996</v>
      </c>
    </row>
    <row r="71" spans="1:4" ht="15.75" x14ac:dyDescent="0.25">
      <c r="A71" s="5" t="s">
        <v>70</v>
      </c>
      <c r="B71" s="6">
        <v>0.08</v>
      </c>
      <c r="C71" s="6">
        <f t="shared" si="2"/>
        <v>6.4000000000000001E-2</v>
      </c>
      <c r="D71" s="6">
        <f t="shared" si="3"/>
        <v>9.6000000000000002E-2</v>
      </c>
    </row>
    <row r="72" spans="1:4" ht="15.75" x14ac:dyDescent="0.25">
      <c r="A72" s="5" t="s">
        <v>71</v>
      </c>
      <c r="B72" s="6">
        <v>0.1</v>
      </c>
      <c r="C72" s="6">
        <f t="shared" si="2"/>
        <v>8.0000000000000016E-2</v>
      </c>
      <c r="D72" s="6">
        <f t="shared" si="3"/>
        <v>0.12</v>
      </c>
    </row>
    <row r="73" spans="1:4" ht="15.75" x14ac:dyDescent="0.25">
      <c r="A73" s="5" t="s">
        <v>72</v>
      </c>
      <c r="B73" s="6">
        <v>38</v>
      </c>
      <c r="C73" s="6">
        <f t="shared" si="2"/>
        <v>30.400000000000002</v>
      </c>
      <c r="D73" s="6">
        <f t="shared" si="3"/>
        <v>45.6</v>
      </c>
    </row>
    <row r="74" spans="1:4" ht="15.75" x14ac:dyDescent="0.25">
      <c r="A74" s="5" t="s">
        <v>73</v>
      </c>
      <c r="B74" s="6">
        <v>0.08</v>
      </c>
      <c r="C74" s="6">
        <f t="shared" si="2"/>
        <v>6.4000000000000001E-2</v>
      </c>
      <c r="D74" s="6">
        <f t="shared" si="3"/>
        <v>9.6000000000000002E-2</v>
      </c>
    </row>
    <row r="75" spans="1:4" ht="15.75" x14ac:dyDescent="0.25">
      <c r="A75" s="5" t="s">
        <v>74</v>
      </c>
      <c r="B75" s="6">
        <v>44</v>
      </c>
      <c r="C75" s="6">
        <f t="shared" si="2"/>
        <v>35.200000000000003</v>
      </c>
      <c r="D75" s="6">
        <f t="shared" si="3"/>
        <v>52.8</v>
      </c>
    </row>
    <row r="76" spans="1:4" ht="15.75" x14ac:dyDescent="0.25">
      <c r="A76" s="5" t="s">
        <v>75</v>
      </c>
      <c r="B76" s="6">
        <v>6</v>
      </c>
      <c r="C76" s="6">
        <f t="shared" si="2"/>
        <v>4.8000000000000007</v>
      </c>
      <c r="D76" s="6">
        <f t="shared" si="3"/>
        <v>7.1999999999999993</v>
      </c>
    </row>
    <row r="77" spans="1:4" ht="15.75" x14ac:dyDescent="0.25">
      <c r="A77" s="5" t="s">
        <v>76</v>
      </c>
      <c r="B77" s="6">
        <v>0.23</v>
      </c>
      <c r="C77" s="6">
        <f t="shared" si="2"/>
        <v>0.18400000000000002</v>
      </c>
      <c r="D77" s="6">
        <f t="shared" si="3"/>
        <v>0.27600000000000002</v>
      </c>
    </row>
    <row r="78" spans="1:4" ht="15.75" x14ac:dyDescent="0.25">
      <c r="A78" s="5" t="s">
        <v>77</v>
      </c>
      <c r="B78" s="6">
        <v>1.44</v>
      </c>
      <c r="C78" s="6">
        <f t="shared" si="2"/>
        <v>1.1519999999999999</v>
      </c>
      <c r="D78" s="6">
        <f t="shared" si="3"/>
        <v>1.728</v>
      </c>
    </row>
    <row r="79" spans="1:4" ht="15.75" x14ac:dyDescent="0.25">
      <c r="A79" s="5" t="s">
        <v>78</v>
      </c>
      <c r="B79" s="6">
        <v>2.5</v>
      </c>
      <c r="C79" s="6">
        <f t="shared" si="2"/>
        <v>2</v>
      </c>
      <c r="D79" s="6">
        <f t="shared" si="3"/>
        <v>3</v>
      </c>
    </row>
    <row r="80" spans="1:4" ht="15.75" x14ac:dyDescent="0.25">
      <c r="A80" s="5" t="s">
        <v>79</v>
      </c>
      <c r="B80" s="6">
        <v>40</v>
      </c>
      <c r="C80" s="6">
        <f t="shared" si="2"/>
        <v>32</v>
      </c>
      <c r="D80" s="10">
        <f t="shared" si="3"/>
        <v>48</v>
      </c>
    </row>
    <row r="81" spans="1:4" ht="15.75" x14ac:dyDescent="0.25">
      <c r="A81" s="5"/>
      <c r="B81" s="6"/>
      <c r="C81" s="6"/>
      <c r="D81" s="6"/>
    </row>
    <row r="82" spans="1:4" ht="15.75" x14ac:dyDescent="0.25">
      <c r="A82" s="5"/>
      <c r="B82" s="6"/>
      <c r="C82" s="6"/>
      <c r="D82" s="6"/>
    </row>
    <row r="83" spans="1:4" ht="15.75" x14ac:dyDescent="0.25">
      <c r="A83" s="5"/>
      <c r="B83" s="6"/>
      <c r="C83" s="6"/>
      <c r="D83" s="6"/>
    </row>
    <row r="84" spans="1:4" ht="15.75" x14ac:dyDescent="0.25">
      <c r="A84" s="5"/>
      <c r="B84" s="6"/>
      <c r="C84" s="6"/>
      <c r="D84" s="6"/>
    </row>
    <row r="85" spans="1:4" ht="15.75" x14ac:dyDescent="0.25">
      <c r="A85" s="5"/>
      <c r="B85" s="6"/>
      <c r="C85" s="6"/>
      <c r="D85" s="6"/>
    </row>
    <row r="86" spans="1:4" ht="15.75" x14ac:dyDescent="0.25">
      <c r="A86" s="5"/>
      <c r="B86" s="6"/>
      <c r="C86" s="6"/>
      <c r="D8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sugarbeet</vt:lpstr>
      <vt:lpstr>winterwheat</vt:lpstr>
      <vt:lpstr>potato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2026-04-02T15:21:17Z</dcterms:modified>
</cp:coreProperties>
</file>